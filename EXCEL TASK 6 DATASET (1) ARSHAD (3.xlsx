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C1246BDC-C060-4467-8A9F-535A50EE9C5C}" xr6:coauthVersionLast="47" xr6:coauthVersionMax="47" xr10:uidLastSave="{00000000-0000-0000-0000-000000000000}"/>
  <bookViews>
    <workbookView xWindow="-110" yWindow="-110" windowWidth="19420" windowHeight="10420" activeTab="4" xr2:uid="{00000000-000D-0000-FFFF-FFFF00000000}"/>
  </bookViews>
  <sheets>
    <sheet name="Products" sheetId="1" r:id="rId1"/>
    <sheet name="Employees" sheetId="2" r:id="rId2"/>
    <sheet name="Orders" sheetId="3" r:id="rId3"/>
    <sheet name="Practice" sheetId="4" r:id="rId4"/>
    <sheet name="HLookup_Practice" sheetId="5" r:id="rId5"/>
    <sheet name="Instructions" sheetId="6" r:id="rId6"/>
  </sheets>
  <definedNames>
    <definedName name="_xlnm._FilterDatabase" localSheetId="1" hidden="1">Employees!$A$1:$E$7</definedName>
    <definedName name="_xlnm._FilterDatabase" localSheetId="4" hidden="1">HLookup_Practice!$A$1:$F$5</definedName>
    <definedName name="_xlnm._FilterDatabase" localSheetId="5" hidden="1">Instructions!$A$1:$A$12</definedName>
    <definedName name="_xlnm._FilterDatabase" localSheetId="2" hidden="1">Orders!$A$1:$F$13</definedName>
    <definedName name="_xlnm._FilterDatabase" localSheetId="3" hidden="1">Practice!$A$1:$H$9</definedName>
    <definedName name="_xlnm._FilterDatabase" localSheetId="0" hidden="1">Products!$A$1:$E$11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5" l="1"/>
  <c r="C8" i="5"/>
  <c r="C7" i="5"/>
  <c r="B11" i="2"/>
  <c r="B16" i="1"/>
  <c r="B15" i="1"/>
  <c r="B10" i="2"/>
  <c r="B9" i="2"/>
  <c r="B14" i="1"/>
  <c r="B13" i="1"/>
  <c r="G8" i="1"/>
  <c r="G6" i="1"/>
  <c r="G7" i="1"/>
</calcChain>
</file>

<file path=xl/sharedStrings.xml><?xml version="1.0" encoding="utf-8"?>
<sst xmlns="http://schemas.openxmlformats.org/spreadsheetml/2006/main" count="117" uniqueCount="87">
  <si>
    <t>Product_ID</t>
  </si>
  <si>
    <t>Product_Name</t>
  </si>
  <si>
    <t>Category</t>
  </si>
  <si>
    <t>Brand</t>
  </si>
  <si>
    <t>Unit_Price</t>
  </si>
  <si>
    <t>Laptop</t>
  </si>
  <si>
    <t>Electronics</t>
  </si>
  <si>
    <t>Dell</t>
  </si>
  <si>
    <t>Smartphone</t>
  </si>
  <si>
    <t>Samsung</t>
  </si>
  <si>
    <t>Headphones</t>
  </si>
  <si>
    <t>Sony</t>
  </si>
  <si>
    <t>Keyboard</t>
  </si>
  <si>
    <t>Logitech</t>
  </si>
  <si>
    <t>Mouse</t>
  </si>
  <si>
    <t>HP</t>
  </si>
  <si>
    <t>Monitor</t>
  </si>
  <si>
    <t>LG</t>
  </si>
  <si>
    <t>Printer</t>
  </si>
  <si>
    <t>Canon</t>
  </si>
  <si>
    <t>Tablet</t>
  </si>
  <si>
    <t>Lenovo</t>
  </si>
  <si>
    <t>Office Chair</t>
  </si>
  <si>
    <t>Furniture</t>
  </si>
  <si>
    <t>GreenSoul</t>
  </si>
  <si>
    <t>Desk</t>
  </si>
  <si>
    <t>IKEA</t>
  </si>
  <si>
    <t>Employee_ID</t>
  </si>
  <si>
    <t>Employee_Name</t>
  </si>
  <si>
    <t>Department</t>
  </si>
  <si>
    <t>Location</t>
  </si>
  <si>
    <t>Email</t>
  </si>
  <si>
    <t>Anu</t>
  </si>
  <si>
    <t>Sales</t>
  </si>
  <si>
    <t>Kochi</t>
  </si>
  <si>
    <t>anu@example.com</t>
  </si>
  <si>
    <t>Rahul</t>
  </si>
  <si>
    <t>Bangalore</t>
  </si>
  <si>
    <t>rahul@example.com</t>
  </si>
  <si>
    <t>Meera</t>
  </si>
  <si>
    <t>Marketing</t>
  </si>
  <si>
    <t>Chennai</t>
  </si>
  <si>
    <t>meera@example.com</t>
  </si>
  <si>
    <t>Arjun</t>
  </si>
  <si>
    <t>Finance</t>
  </si>
  <si>
    <t>arjun@example.com</t>
  </si>
  <si>
    <t>Diya</t>
  </si>
  <si>
    <t>HR</t>
  </si>
  <si>
    <t>Hyderabad</t>
  </si>
  <si>
    <t>diya@example.com</t>
  </si>
  <si>
    <t>Vivek</t>
  </si>
  <si>
    <t>Mumbai</t>
  </si>
  <si>
    <t>vivek@example.com</t>
  </si>
  <si>
    <t>Order_ID</t>
  </si>
  <si>
    <t>Order_Date</t>
  </si>
  <si>
    <t>Quantity</t>
  </si>
  <si>
    <t>Payment_Method</t>
  </si>
  <si>
    <t>UPI</t>
  </si>
  <si>
    <t>Credit Card</t>
  </si>
  <si>
    <t>Cash</t>
  </si>
  <si>
    <t>Debit Card</t>
  </si>
  <si>
    <t>Field</t>
  </si>
  <si>
    <t>Jan</t>
  </si>
  <si>
    <t>Feb</t>
  </si>
  <si>
    <t>Mar</t>
  </si>
  <si>
    <t>Apr</t>
  </si>
  <si>
    <t>May</t>
  </si>
  <si>
    <t>Profit</t>
  </si>
  <si>
    <t>Orders</t>
  </si>
  <si>
    <t>Lookup Practice</t>
  </si>
  <si>
    <t>Use the Practice sheet to fill the blank columns using lookup functions.</t>
  </si>
  <si>
    <t>1. Product_Name: look up Product_ID from Products.</t>
  </si>
  <si>
    <t>2. Category: look up Product_ID from Products.</t>
  </si>
  <si>
    <t>3. Unit_Price: look up Product_ID from Products.</t>
  </si>
  <si>
    <t>4. Employee_Name: look up Employee_ID from Employees.</t>
  </si>
  <si>
    <t>5. Try XLOOKUP, VLOOKUP, INDEX+MATCH, and HLOOKUP where applicable.</t>
  </si>
  <si>
    <t>6. Use IFERROR around lookups to handle missing IDs.</t>
  </si>
  <si>
    <t>Example XLOOKUP: =XLOOKUP(B2,Products!$A$2:$A$11,Products!$B$2:$B$11,"Not Found")</t>
  </si>
  <si>
    <t>Example VLOOKUP: =VLOOKUP(B2,Products!$A$2:$E$11,2,FALSE)</t>
  </si>
  <si>
    <t>Example INDEX+MATCH: =INDEX(Products!$B$2:$B$11,MATCH(B2,Products!$A$2:$A$11,0))</t>
  </si>
  <si>
    <t>HLOOKUP is demonstrated by the separate HLookup_Practice sheet.</t>
  </si>
  <si>
    <t>0</t>
  </si>
  <si>
    <t>1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</si>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</sst>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0" fontId="0" fillId="3" borderId="0" xfId="0" applyFill="1"/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</dxf>
    <dxf>
      <numFmt numFmtId="164" formatCode="dd\-mm\-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B46EC3-1F62-4C95-AA74-75A46B7F7F06}" name="Table1" displayName="Table1" ref="A1:E11" totalsRowShown="0" headerRowDxfId="3">
  <autoFilter ref="A1:E11" xr:uid="{00000000-0009-0000-0000-000000000000}"/>
  <tableColumns count="5">
    <tableColumn id="1" xr3:uid="{0D1B494C-806A-4586-874F-0CAF8FBFAF98}" name="Product_ID"/>
    <tableColumn id="2" xr3:uid="{E68F4220-4203-46FC-A4F8-D4B623046FD1}" name="Product_Name"/>
    <tableColumn id="3" xr3:uid="{C07118E6-39FB-4925-9571-E1AA729CFA41}" name="Category"/>
    <tableColumn id="4" xr3:uid="{9E079272-66A3-44E4-AFB4-0C2E46AA62BD}" name="Brand"/>
    <tableColumn id="5" xr3:uid="{3CB24BD2-52F7-4664-8040-73C5E6076E3A}" name="Unit_Price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1B26F5-9DEA-45AF-A81C-061A7F3A49FF}" name="Table2" displayName="Table2" ref="A1:E7" totalsRowShown="0" headerRowDxfId="4">
  <autoFilter ref="A1:E7" xr:uid="{00000000-0009-0000-0000-000001000000}"/>
  <tableColumns count="5">
    <tableColumn id="1" xr3:uid="{7AED4C39-CB9F-4675-BC4C-EA4E92BE9C88}" name="Employee_ID"/>
    <tableColumn id="2" xr3:uid="{3EBE1527-B627-4800-BC38-23729BBD04CC}" name="Employee_Name"/>
    <tableColumn id="3" xr3:uid="{7B3F1106-F109-41D6-BBBB-D9CCCEA22220}" name="Department"/>
    <tableColumn id="4" xr3:uid="{F9C675C0-429E-44FA-BCFD-A6DDEA8E537C}" name="Location"/>
    <tableColumn id="5" xr3:uid="{DD0F09B6-7581-48D9-BC02-890D6954432A}" name="Email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FF2C855-A6F2-4F10-964A-6A2963447E81}" name="Table3" displayName="Table3" ref="A1:F13" totalsRowShown="0" headerRowDxfId="2">
  <autoFilter ref="A1:F13" xr:uid="{00000000-0009-0000-0000-000002000000}"/>
  <tableColumns count="6">
    <tableColumn id="1" xr3:uid="{0DEBA970-01A8-4059-B973-BC2F8BCAD59F}" name="Order_ID"/>
    <tableColumn id="2" xr3:uid="{287E72FF-6986-4650-B839-18646DE15A2F}" name="Order_Date" dataDxfId="1"/>
    <tableColumn id="3" xr3:uid="{F857CE46-670A-4E06-A5FF-66F7441A44BD}" name="Product_ID"/>
    <tableColumn id="4" xr3:uid="{80705BFE-D8AA-4944-9CB1-B2219FAA98A2}" name="Employee_ID"/>
    <tableColumn id="5" xr3:uid="{8B6D071D-6D55-41BD-887B-6FD8C8F777CF}" name="Quantity"/>
    <tableColumn id="6" xr3:uid="{64184273-CE9F-42E1-B3EC-3B1831D1D790}" name="Payment_Method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0C8BB33-E148-420F-9D55-4B34D4B148FD}" name="Table4" displayName="Table4" ref="A1:F5" totalsRowShown="0" headerRowDxfId="0">
  <autoFilter ref="A1:F5" xr:uid="{00000000-0009-0000-0000-000004000000}"/>
  <tableColumns count="6">
    <tableColumn id="1" xr3:uid="{1F4BBFD4-4B49-4840-90C1-97F01DDB4C90}" name="0"/>
    <tableColumn id="2" xr3:uid="{59DB37D1-BD14-4AA3-9544-FFDCF23D0021}" name="1"/>
    <tableColumn id="3" xr3:uid="{12C4FAD2-7748-4DAF-A603-8470940A8AFE}" name="2"/>
    <tableColumn id="4" xr3:uid="{20232BB3-2994-42D4-B979-EA6FB73F2225}" name="3"/>
    <tableColumn id="5" xr3:uid="{18DD3E8B-A682-44CF-B631-94A6486DA044}" name="4"/>
    <tableColumn id="6" xr3:uid="{D808EEAC-CB91-4560-A3EC-89A8FC9A2EEE}" name="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zoomScale="96" workbookViewId="0">
      <pane ySplit="1" topLeftCell="A2" activePane="bottomLeft" state="frozen"/>
      <selection pane="bottomLeft" activeCell="A17" sqref="A17"/>
    </sheetView>
  </sheetViews>
  <sheetFormatPr defaultRowHeight="14.5" x14ac:dyDescent="0.35"/>
  <cols>
    <col min="1" max="1" width="12.26953125" customWidth="1"/>
    <col min="2" max="2" width="15.36328125" customWidth="1"/>
    <col min="3" max="3" width="13" customWidth="1"/>
    <col min="4" max="5" width="12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 x14ac:dyDescent="0.35">
      <c r="A2">
        <v>101</v>
      </c>
      <c r="B2" t="s">
        <v>5</v>
      </c>
      <c r="C2" t="s">
        <v>6</v>
      </c>
      <c r="D2" t="s">
        <v>7</v>
      </c>
      <c r="E2">
        <v>55000</v>
      </c>
    </row>
    <row r="3" spans="1:7" x14ac:dyDescent="0.35">
      <c r="A3">
        <v>102</v>
      </c>
      <c r="B3" t="s">
        <v>8</v>
      </c>
      <c r="C3" t="s">
        <v>6</v>
      </c>
      <c r="D3" t="s">
        <v>9</v>
      </c>
      <c r="E3">
        <v>28000</v>
      </c>
    </row>
    <row r="4" spans="1:7" x14ac:dyDescent="0.35">
      <c r="A4">
        <v>103</v>
      </c>
      <c r="B4" t="s">
        <v>10</v>
      </c>
      <c r="C4" t="s">
        <v>6</v>
      </c>
      <c r="D4" t="s">
        <v>11</v>
      </c>
      <c r="E4">
        <v>4500</v>
      </c>
    </row>
    <row r="5" spans="1:7" x14ac:dyDescent="0.35">
      <c r="A5">
        <v>104</v>
      </c>
      <c r="B5" t="s">
        <v>12</v>
      </c>
      <c r="C5" t="s">
        <v>6</v>
      </c>
      <c r="D5" t="s">
        <v>13</v>
      </c>
      <c r="E5">
        <v>2200</v>
      </c>
    </row>
    <row r="6" spans="1:7" x14ac:dyDescent="0.35">
      <c r="A6">
        <v>105</v>
      </c>
      <c r="B6" t="s">
        <v>14</v>
      </c>
      <c r="C6" t="s">
        <v>6</v>
      </c>
      <c r="D6" t="s">
        <v>15</v>
      </c>
      <c r="E6">
        <v>1200</v>
      </c>
      <c r="G6" t="str">
        <f>INDEX(Table1[#All],2,3)</f>
        <v>Electronics</v>
      </c>
    </row>
    <row r="7" spans="1:7" x14ac:dyDescent="0.35">
      <c r="A7">
        <v>106</v>
      </c>
      <c r="B7" t="s">
        <v>16</v>
      </c>
      <c r="C7" t="s">
        <v>6</v>
      </c>
      <c r="D7" t="s">
        <v>17</v>
      </c>
      <c r="E7">
        <v>14500</v>
      </c>
      <c r="G7" t="str">
        <f>INDEX(Table1[Brand],5)</f>
        <v>HP</v>
      </c>
    </row>
    <row r="8" spans="1:7" x14ac:dyDescent="0.35">
      <c r="A8">
        <v>107</v>
      </c>
      <c r="B8" t="s">
        <v>18</v>
      </c>
      <c r="C8" t="s">
        <v>6</v>
      </c>
      <c r="D8" t="s">
        <v>19</v>
      </c>
      <c r="E8">
        <v>12500</v>
      </c>
      <c r="G8">
        <f>INDEX(Table1[[#All],[Unit_Price]],MATCH(B5,Table1[[#All],[Product_Name]],0))</f>
        <v>2200</v>
      </c>
    </row>
    <row r="9" spans="1:7" x14ac:dyDescent="0.35">
      <c r="A9">
        <v>108</v>
      </c>
      <c r="B9" t="s">
        <v>20</v>
      </c>
      <c r="C9" t="s">
        <v>6</v>
      </c>
      <c r="D9" t="s">
        <v>21</v>
      </c>
      <c r="E9">
        <v>21000</v>
      </c>
    </row>
    <row r="10" spans="1:7" x14ac:dyDescent="0.35">
      <c r="A10">
        <v>109</v>
      </c>
      <c r="B10" t="s">
        <v>22</v>
      </c>
      <c r="C10" t="s">
        <v>23</v>
      </c>
      <c r="D10" t="s">
        <v>24</v>
      </c>
      <c r="E10">
        <v>8500</v>
      </c>
    </row>
    <row r="11" spans="1:7" x14ac:dyDescent="0.35">
      <c r="A11">
        <v>110</v>
      </c>
      <c r="B11" t="s">
        <v>25</v>
      </c>
      <c r="C11" t="s">
        <v>23</v>
      </c>
      <c r="D11" t="s">
        <v>26</v>
      </c>
      <c r="E11">
        <v>12000</v>
      </c>
    </row>
    <row r="13" spans="1:7" x14ac:dyDescent="0.35">
      <c r="A13">
        <v>1</v>
      </c>
      <c r="B13" t="str">
        <f>INDEX(Table1[[#All],[Product_Name]],MATCH(A6,Table1[[#All],[Product_ID]],0))</f>
        <v>Mouse</v>
      </c>
    </row>
    <row r="14" spans="1:7" x14ac:dyDescent="0.35">
      <c r="A14">
        <v>2</v>
      </c>
      <c r="B14">
        <f>INDEX(Table1[[#All],[Unit_Price]],MATCH(A4,Table1[[#All],[Product_ID]],0))</f>
        <v>4500</v>
      </c>
    </row>
    <row r="15" spans="1:7" x14ac:dyDescent="0.35">
      <c r="A15">
        <v>9</v>
      </c>
      <c r="B15" t="str">
        <f>VLOOKUP(A3,Table1[#All],2,FALSE)</f>
        <v>Smartphone</v>
      </c>
    </row>
    <row r="16" spans="1:7" x14ac:dyDescent="0.35">
      <c r="A16">
        <v>10</v>
      </c>
      <c r="B16">
        <f>VLOOKUP(A6,Table1[#All],5,FALSE)</f>
        <v>1200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>
      <pane ySplit="1" topLeftCell="A2" activePane="bottomLeft" state="frozen"/>
      <selection pane="bottomLeft" activeCell="E11" sqref="E11"/>
    </sheetView>
  </sheetViews>
  <sheetFormatPr defaultRowHeight="14.5" x14ac:dyDescent="0.35"/>
  <cols>
    <col min="1" max="1" width="13.81640625" customWidth="1"/>
    <col min="2" max="2" width="16.90625" customWidth="1"/>
    <col min="3" max="3" width="13.08984375" customWidth="1"/>
    <col min="4" max="4" width="12" customWidth="1"/>
    <col min="5" max="5" width="19" customWidth="1"/>
  </cols>
  <sheetData>
    <row r="1" spans="1:5" x14ac:dyDescent="0.3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</row>
    <row r="2" spans="1:5" x14ac:dyDescent="0.35">
      <c r="A2">
        <v>201</v>
      </c>
      <c r="B2" t="s">
        <v>32</v>
      </c>
      <c r="C2" t="s">
        <v>33</v>
      </c>
      <c r="D2" t="s">
        <v>34</v>
      </c>
      <c r="E2" t="s">
        <v>35</v>
      </c>
    </row>
    <row r="3" spans="1:5" x14ac:dyDescent="0.35">
      <c r="A3">
        <v>202</v>
      </c>
      <c r="B3" t="s">
        <v>36</v>
      </c>
      <c r="C3" t="s">
        <v>33</v>
      </c>
      <c r="D3" t="s">
        <v>37</v>
      </c>
      <c r="E3" t="s">
        <v>38</v>
      </c>
    </row>
    <row r="4" spans="1:5" x14ac:dyDescent="0.35">
      <c r="A4">
        <v>203</v>
      </c>
      <c r="B4" t="s">
        <v>39</v>
      </c>
      <c r="C4" t="s">
        <v>40</v>
      </c>
      <c r="D4" t="s">
        <v>41</v>
      </c>
      <c r="E4" t="s">
        <v>42</v>
      </c>
    </row>
    <row r="5" spans="1:5" x14ac:dyDescent="0.35">
      <c r="A5">
        <v>204</v>
      </c>
      <c r="B5" t="s">
        <v>43</v>
      </c>
      <c r="C5" t="s">
        <v>44</v>
      </c>
      <c r="D5" t="s">
        <v>34</v>
      </c>
      <c r="E5" t="s">
        <v>45</v>
      </c>
    </row>
    <row r="6" spans="1:5" x14ac:dyDescent="0.35">
      <c r="A6">
        <v>205</v>
      </c>
      <c r="B6" t="s">
        <v>46</v>
      </c>
      <c r="C6" t="s">
        <v>47</v>
      </c>
      <c r="D6" t="s">
        <v>48</v>
      </c>
      <c r="E6" t="s">
        <v>49</v>
      </c>
    </row>
    <row r="7" spans="1:5" x14ac:dyDescent="0.35">
      <c r="A7">
        <v>206</v>
      </c>
      <c r="B7" t="s">
        <v>50</v>
      </c>
      <c r="C7" t="s">
        <v>33</v>
      </c>
      <c r="D7" t="s">
        <v>51</v>
      </c>
      <c r="E7" t="s">
        <v>52</v>
      </c>
    </row>
    <row r="9" spans="1:5" x14ac:dyDescent="0.35">
      <c r="A9">
        <v>3</v>
      </c>
      <c r="B9" t="str">
        <f>INDEX(Table2[[#All],[Employee_Name]],MATCH(A4,Table2[[#All],[Employee_ID]],0))</f>
        <v>Meera</v>
      </c>
    </row>
    <row r="10" spans="1:5" x14ac:dyDescent="0.35">
      <c r="A10">
        <v>4</v>
      </c>
      <c r="B10" t="str">
        <f>INDEX(Table2[[#All],[Department]],MATCH(A6,Table2[[#All],[Employee_ID]],0))</f>
        <v>HR</v>
      </c>
    </row>
    <row r="11" spans="1:5" x14ac:dyDescent="0.35">
      <c r="A11">
        <v>11</v>
      </c>
      <c r="B11" t="str">
        <f>VLOOKUP(A3,Table2[#All],3,FALSE)</f>
        <v>Sales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workbookViewId="0">
      <pane ySplit="1" topLeftCell="A2" activePane="bottomLeft" state="frozen"/>
      <selection pane="bottomLeft" sqref="A1:F13"/>
    </sheetView>
  </sheetViews>
  <sheetFormatPr defaultRowHeight="14.5" x14ac:dyDescent="0.35"/>
  <cols>
    <col min="1" max="1" width="12" customWidth="1"/>
    <col min="2" max="2" width="21" customWidth="1"/>
    <col min="3" max="3" width="12.26953125" customWidth="1"/>
    <col min="4" max="4" width="13.81640625" customWidth="1"/>
    <col min="5" max="5" width="12" customWidth="1"/>
    <col min="6" max="6" width="18" customWidth="1"/>
  </cols>
  <sheetData>
    <row r="1" spans="1:6" x14ac:dyDescent="0.35">
      <c r="A1" s="1" t="s">
        <v>53</v>
      </c>
      <c r="B1" s="1" t="s">
        <v>54</v>
      </c>
      <c r="C1" s="1" t="s">
        <v>0</v>
      </c>
      <c r="D1" s="1" t="s">
        <v>27</v>
      </c>
      <c r="E1" s="1" t="s">
        <v>55</v>
      </c>
      <c r="F1" s="1" t="s">
        <v>56</v>
      </c>
    </row>
    <row r="2" spans="1:6" x14ac:dyDescent="0.35">
      <c r="A2">
        <v>5001</v>
      </c>
      <c r="B2" s="2">
        <v>46027</v>
      </c>
      <c r="C2">
        <v>101</v>
      </c>
      <c r="D2">
        <v>201</v>
      </c>
      <c r="E2">
        <v>1</v>
      </c>
      <c r="F2" t="s">
        <v>57</v>
      </c>
    </row>
    <row r="3" spans="1:6" x14ac:dyDescent="0.35">
      <c r="A3">
        <v>5002</v>
      </c>
      <c r="B3" s="2">
        <v>46029</v>
      </c>
      <c r="C3">
        <v>103</v>
      </c>
      <c r="D3">
        <v>202</v>
      </c>
      <c r="E3">
        <v>2</v>
      </c>
      <c r="F3" t="s">
        <v>58</v>
      </c>
    </row>
    <row r="4" spans="1:6" x14ac:dyDescent="0.35">
      <c r="A4">
        <v>5003</v>
      </c>
      <c r="B4" s="2">
        <v>46032</v>
      </c>
      <c r="C4">
        <v>105</v>
      </c>
      <c r="D4">
        <v>201</v>
      </c>
      <c r="E4">
        <v>3</v>
      </c>
      <c r="F4" t="s">
        <v>59</v>
      </c>
    </row>
    <row r="5" spans="1:6" x14ac:dyDescent="0.35">
      <c r="A5">
        <v>5004</v>
      </c>
      <c r="B5" s="2">
        <v>46035</v>
      </c>
      <c r="C5">
        <v>109</v>
      </c>
      <c r="D5">
        <v>204</v>
      </c>
      <c r="E5">
        <v>1</v>
      </c>
      <c r="F5" t="s">
        <v>60</v>
      </c>
    </row>
    <row r="6" spans="1:6" x14ac:dyDescent="0.35">
      <c r="A6">
        <v>5005</v>
      </c>
      <c r="B6" s="2">
        <v>46040</v>
      </c>
      <c r="C6">
        <v>102</v>
      </c>
      <c r="D6">
        <v>206</v>
      </c>
      <c r="E6">
        <v>2</v>
      </c>
      <c r="F6" t="s">
        <v>57</v>
      </c>
    </row>
    <row r="7" spans="1:6" x14ac:dyDescent="0.35">
      <c r="A7">
        <v>5006</v>
      </c>
      <c r="B7" s="2">
        <v>46044</v>
      </c>
      <c r="C7">
        <v>106</v>
      </c>
      <c r="D7">
        <v>202</v>
      </c>
      <c r="E7">
        <v>1</v>
      </c>
      <c r="F7" t="s">
        <v>58</v>
      </c>
    </row>
    <row r="8" spans="1:6" x14ac:dyDescent="0.35">
      <c r="A8">
        <v>5007</v>
      </c>
      <c r="B8" s="2">
        <v>46055</v>
      </c>
      <c r="C8">
        <v>108</v>
      </c>
      <c r="D8">
        <v>206</v>
      </c>
      <c r="E8">
        <v>2</v>
      </c>
      <c r="F8" t="s">
        <v>57</v>
      </c>
    </row>
    <row r="9" spans="1:6" x14ac:dyDescent="0.35">
      <c r="A9">
        <v>5008</v>
      </c>
      <c r="B9" s="2">
        <v>46061</v>
      </c>
      <c r="C9">
        <v>107</v>
      </c>
      <c r="D9">
        <v>201</v>
      </c>
      <c r="E9">
        <v>1</v>
      </c>
      <c r="F9" t="s">
        <v>60</v>
      </c>
    </row>
    <row r="10" spans="1:6" x14ac:dyDescent="0.35">
      <c r="A10">
        <v>5009</v>
      </c>
      <c r="B10" s="2">
        <v>46068</v>
      </c>
      <c r="C10">
        <v>110</v>
      </c>
      <c r="D10">
        <v>204</v>
      </c>
      <c r="E10">
        <v>1</v>
      </c>
      <c r="F10" t="s">
        <v>59</v>
      </c>
    </row>
    <row r="11" spans="1:6" x14ac:dyDescent="0.35">
      <c r="A11">
        <v>5010</v>
      </c>
      <c r="B11" s="2">
        <v>46073</v>
      </c>
      <c r="C11">
        <v>104</v>
      </c>
      <c r="D11">
        <v>202</v>
      </c>
      <c r="E11">
        <v>4</v>
      </c>
      <c r="F11" t="s">
        <v>57</v>
      </c>
    </row>
    <row r="12" spans="1:6" x14ac:dyDescent="0.35">
      <c r="A12">
        <v>5011</v>
      </c>
      <c r="B12" s="2">
        <v>46077</v>
      </c>
      <c r="C12">
        <v>101</v>
      </c>
      <c r="D12">
        <v>206</v>
      </c>
      <c r="E12">
        <v>1</v>
      </c>
      <c r="F12" t="s">
        <v>58</v>
      </c>
    </row>
    <row r="13" spans="1:6" x14ac:dyDescent="0.35">
      <c r="A13">
        <v>5012</v>
      </c>
      <c r="B13" s="2">
        <v>46084</v>
      </c>
      <c r="C13">
        <v>103</v>
      </c>
      <c r="D13">
        <v>201</v>
      </c>
      <c r="E13">
        <v>2</v>
      </c>
      <c r="F13" t="s">
        <v>57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"/>
  <sheetViews>
    <sheetView workbookViewId="0">
      <pane ySplit="1" topLeftCell="A2" activePane="bottomLeft" state="frozen"/>
      <selection pane="bottomLeft" activeCell="C11" sqref="C11"/>
    </sheetView>
  </sheetViews>
  <sheetFormatPr defaultRowHeight="14.5" x14ac:dyDescent="0.35"/>
  <cols>
    <col min="1" max="2" width="12" customWidth="1"/>
    <col min="3" max="3" width="13" customWidth="1"/>
    <col min="4" max="4" width="12" customWidth="1"/>
    <col min="5" max="5" width="14" customWidth="1"/>
    <col min="6" max="7" width="12" customWidth="1"/>
    <col min="8" max="8" width="15" customWidth="1"/>
  </cols>
  <sheetData>
    <row r="1" spans="1:8" x14ac:dyDescent="0.35">
      <c r="A1" s="1" t="s">
        <v>53</v>
      </c>
      <c r="B1" s="1" t="s">
        <v>0</v>
      </c>
      <c r="C1" s="1" t="s">
        <v>27</v>
      </c>
      <c r="D1" s="1" t="s">
        <v>55</v>
      </c>
      <c r="E1" s="1" t="s">
        <v>1</v>
      </c>
      <c r="F1" s="1" t="s">
        <v>2</v>
      </c>
      <c r="G1" s="1" t="s">
        <v>4</v>
      </c>
      <c r="H1" s="1" t="s">
        <v>28</v>
      </c>
    </row>
    <row r="2" spans="1:8" x14ac:dyDescent="0.35">
      <c r="A2">
        <v>5001</v>
      </c>
      <c r="B2">
        <v>101</v>
      </c>
      <c r="C2">
        <v>201</v>
      </c>
      <c r="D2">
        <v>1</v>
      </c>
      <c r="E2" s="3"/>
      <c r="F2" s="3"/>
      <c r="G2" s="3"/>
      <c r="H2" s="3"/>
    </row>
    <row r="3" spans="1:8" x14ac:dyDescent="0.35">
      <c r="A3">
        <v>5002</v>
      </c>
      <c r="B3">
        <v>103</v>
      </c>
      <c r="C3">
        <v>202</v>
      </c>
      <c r="D3">
        <v>2</v>
      </c>
      <c r="E3" s="3"/>
      <c r="F3" s="3"/>
      <c r="G3" s="3"/>
      <c r="H3" s="3"/>
    </row>
    <row r="4" spans="1:8" x14ac:dyDescent="0.35">
      <c r="A4">
        <v>5003</v>
      </c>
      <c r="B4">
        <v>105</v>
      </c>
      <c r="C4">
        <v>201</v>
      </c>
      <c r="D4">
        <v>3</v>
      </c>
      <c r="E4" s="3"/>
      <c r="F4" s="3"/>
      <c r="G4" s="3"/>
      <c r="H4" s="3"/>
    </row>
    <row r="5" spans="1:8" x14ac:dyDescent="0.35">
      <c r="A5">
        <v>5004</v>
      </c>
      <c r="B5">
        <v>109</v>
      </c>
      <c r="C5">
        <v>204</v>
      </c>
      <c r="D5">
        <v>1</v>
      </c>
      <c r="E5" s="3"/>
      <c r="F5" s="3"/>
      <c r="G5" s="3"/>
      <c r="H5" s="3"/>
    </row>
    <row r="6" spans="1:8" x14ac:dyDescent="0.35">
      <c r="A6">
        <v>5005</v>
      </c>
      <c r="B6">
        <v>102</v>
      </c>
      <c r="C6">
        <v>206</v>
      </c>
      <c r="D6">
        <v>2</v>
      </c>
      <c r="E6" s="3"/>
      <c r="F6" s="3"/>
      <c r="G6" s="3"/>
      <c r="H6" s="3"/>
    </row>
    <row r="7" spans="1:8" x14ac:dyDescent="0.35">
      <c r="A7">
        <v>5006</v>
      </c>
      <c r="B7">
        <v>106</v>
      </c>
      <c r="C7">
        <v>202</v>
      </c>
      <c r="D7">
        <v>1</v>
      </c>
      <c r="E7" s="3"/>
      <c r="F7" s="3"/>
      <c r="G7" s="3"/>
      <c r="H7" s="3"/>
    </row>
    <row r="8" spans="1:8" x14ac:dyDescent="0.35">
      <c r="A8">
        <v>5007</v>
      </c>
      <c r="B8">
        <v>108</v>
      </c>
      <c r="C8">
        <v>206</v>
      </c>
      <c r="D8">
        <v>2</v>
      </c>
      <c r="E8" s="3"/>
      <c r="F8" s="3"/>
      <c r="G8" s="3"/>
      <c r="H8" s="3"/>
    </row>
    <row r="9" spans="1:8" x14ac:dyDescent="0.35">
      <c r="A9">
        <v>5008</v>
      </c>
      <c r="B9">
        <v>107</v>
      </c>
      <c r="C9">
        <v>201</v>
      </c>
      <c r="D9">
        <v>1</v>
      </c>
      <c r="E9" s="3"/>
      <c r="F9" s="3"/>
      <c r="G9" s="3"/>
      <c r="H9" s="3"/>
    </row>
    <row r="10" spans="1:8" x14ac:dyDescent="0.35">
      <c r="A10">
        <v>5009</v>
      </c>
      <c r="B10">
        <v>999</v>
      </c>
      <c r="C10">
        <v>999</v>
      </c>
      <c r="D10">
        <v>1</v>
      </c>
      <c r="E10" s="3"/>
      <c r="F10" s="3"/>
      <c r="G10" s="3"/>
      <c r="H10" s="3"/>
    </row>
    <row r="11" spans="1:8" x14ac:dyDescent="0.35">
      <c r="A11">
        <v>5010</v>
      </c>
      <c r="B11">
        <v>102</v>
      </c>
      <c r="C11">
        <v>206</v>
      </c>
      <c r="D11">
        <v>2</v>
      </c>
      <c r="E11" s="3"/>
      <c r="F11" s="3"/>
      <c r="G11" s="3"/>
      <c r="H11" s="3"/>
    </row>
  </sheetData>
  <autoFilter ref="A1:H9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"/>
  <sheetViews>
    <sheetView tabSelected="1" workbookViewId="0">
      <pane ySplit="1" topLeftCell="A2" activePane="bottomLeft" state="frozen"/>
      <selection pane="bottomLeft" activeCell="C10" sqref="C10"/>
    </sheetView>
  </sheetViews>
  <sheetFormatPr defaultRowHeight="14.5" x14ac:dyDescent="0.35"/>
  <cols>
    <col min="1" max="6" width="12" customWidth="1"/>
  </cols>
  <sheetData>
    <row r="1" spans="1:6" x14ac:dyDescent="0.35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</row>
    <row r="2" spans="1:6" x14ac:dyDescent="0.35">
      <c r="A2" t="s">
        <v>61</v>
      </c>
      <c r="B2" t="s">
        <v>62</v>
      </c>
      <c r="C2" t="s">
        <v>63</v>
      </c>
      <c r="D2" t="s">
        <v>64</v>
      </c>
      <c r="E2" t="s">
        <v>65</v>
      </c>
      <c r="F2" t="s">
        <v>66</v>
      </c>
    </row>
    <row r="3" spans="1:6" x14ac:dyDescent="0.35">
      <c r="A3" t="s">
        <v>33</v>
      </c>
      <c r="B3">
        <v>120000</v>
      </c>
      <c r="C3">
        <v>135000</v>
      </c>
      <c r="D3">
        <v>142000</v>
      </c>
      <c r="E3">
        <v>150000</v>
      </c>
      <c r="F3">
        <v>165000</v>
      </c>
    </row>
    <row r="4" spans="1:6" x14ac:dyDescent="0.35">
      <c r="A4" t="s">
        <v>67</v>
      </c>
      <c r="B4">
        <v>24000</v>
      </c>
      <c r="C4">
        <v>27000</v>
      </c>
      <c r="D4">
        <v>28400</v>
      </c>
      <c r="E4">
        <v>30000</v>
      </c>
      <c r="F4">
        <v>33000</v>
      </c>
    </row>
    <row r="5" spans="1:6" x14ac:dyDescent="0.35">
      <c r="A5" t="s">
        <v>68</v>
      </c>
      <c r="B5">
        <v>120</v>
      </c>
      <c r="C5">
        <v>135</v>
      </c>
      <c r="D5">
        <v>142</v>
      </c>
      <c r="E5">
        <v>150</v>
      </c>
      <c r="F5">
        <v>165</v>
      </c>
    </row>
    <row r="7" spans="1:6" x14ac:dyDescent="0.35">
      <c r="B7">
        <v>13</v>
      </c>
      <c r="C7">
        <f>HLOOKUP(D2,Table4[[1]:[5]],2,FALSE)</f>
        <v>142000</v>
      </c>
    </row>
    <row r="8" spans="1:6" x14ac:dyDescent="0.35">
      <c r="B8">
        <v>14</v>
      </c>
      <c r="C8">
        <f>HLOOKUP(F2,Table4[[1]:[5]],3,FALSE)</f>
        <v>33000</v>
      </c>
    </row>
    <row r="9" spans="1:6" x14ac:dyDescent="0.35">
      <c r="B9">
        <v>15</v>
      </c>
      <c r="C9">
        <f>HLOOKUP(E2,Table4[[1]:[5]],4,FALSE)</f>
        <v>150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0" customWidth="1"/>
  </cols>
  <sheetData>
    <row r="1" spans="1:1" x14ac:dyDescent="0.35">
      <c r="A1" s="1" t="s">
        <v>69</v>
      </c>
    </row>
    <row r="2" spans="1:1" x14ac:dyDescent="0.35">
      <c r="A2" t="s">
        <v>70</v>
      </c>
    </row>
    <row r="3" spans="1:1" x14ac:dyDescent="0.35">
      <c r="A3" t="s">
        <v>71</v>
      </c>
    </row>
    <row r="4" spans="1:1" x14ac:dyDescent="0.35">
      <c r="A4" t="s">
        <v>72</v>
      </c>
    </row>
    <row r="5" spans="1:1" x14ac:dyDescent="0.35">
      <c r="A5" t="s">
        <v>73</v>
      </c>
    </row>
    <row r="6" spans="1:1" x14ac:dyDescent="0.35">
      <c r="A6" t="s">
        <v>74</v>
      </c>
    </row>
    <row r="7" spans="1:1" x14ac:dyDescent="0.35">
      <c r="A7" t="s">
        <v>75</v>
      </c>
    </row>
    <row r="8" spans="1:1" x14ac:dyDescent="0.35">
      <c r="A8" t="s">
        <v>76</v>
      </c>
    </row>
    <row r="9" spans="1:1" x14ac:dyDescent="0.35">
      <c r="A9" t="s">
        <v>77</v>
      </c>
    </row>
    <row r="10" spans="1:1" x14ac:dyDescent="0.35">
      <c r="A10" t="s">
        <v>78</v>
      </c>
    </row>
    <row r="11" spans="1:1" x14ac:dyDescent="0.35">
      <c r="A11" t="s">
        <v>79</v>
      </c>
    </row>
    <row r="12" spans="1:1" x14ac:dyDescent="0.35">
      <c r="A12" t="s">
        <v>80</v>
      </c>
    </row>
  </sheetData>
  <autoFilter ref="A1:A12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Products</vt:lpstr>
      <vt:lpstr>Employees</vt:lpstr>
      <vt:lpstr>Orders</vt:lpstr>
      <vt:lpstr>Practice</vt:lpstr>
      <vt:lpstr>HLookup_Practice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2026-09-15T05:55:28Z</dcterms:created>
  <dcterms:modified xsi:type="dcterms:W3CDTF">2026-09-16T07:36:26Z</dcterms:modified>
</cp:coreProperties>
</file>