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CAAFFA5-D3DA-41D5-9174-424A1A34C96B}" xr6:coauthVersionLast="47" xr6:coauthVersionMax="47" xr10:uidLastSave="{00000000-0000-0000-0000-000000000000}"/>
  <bookViews>
    <workbookView xWindow="-110" yWindow="-110" windowWidth="19420" windowHeight="10420" xr2:uid="{15030F4B-1BFB-4DEA-A97E-C28AC14283F9}"/>
  </bookViews>
  <sheets>
    <sheet name="DATA" sheetId="1" r:id="rId1"/>
    <sheet name="NOTES" sheetId="2" r:id="rId2"/>
    <sheet name="TASK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" i="1" l="1"/>
  <c r="O6" i="1"/>
  <c r="O5" i="1"/>
  <c r="O4" i="1"/>
  <c r="O3" i="1"/>
  <c r="O2" i="1"/>
  <c r="M25" i="1"/>
  <c r="M24" i="1"/>
  <c r="M23" i="1"/>
  <c r="M22" i="1"/>
  <c r="M21" i="1"/>
  <c r="M20" i="1"/>
  <c r="M19" i="1"/>
  <c r="M18" i="1"/>
  <c r="M17" i="1"/>
  <c r="M16" i="1"/>
  <c r="D4" i="4"/>
  <c r="D2" i="4"/>
  <c r="M15" i="1"/>
  <c r="M14" i="1"/>
  <c r="M13" i="1"/>
  <c r="M12" i="1"/>
  <c r="M11" i="1"/>
  <c r="M10" i="1"/>
  <c r="M9" i="1"/>
  <c r="M8" i="1"/>
  <c r="M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M5" i="1"/>
  <c r="M4" i="1"/>
  <c r="M3" i="1"/>
  <c r="M2" i="1"/>
</calcChain>
</file>

<file path=xl/sharedStrings.xml><?xml version="1.0" encoding="utf-8"?>
<sst xmlns="http://schemas.openxmlformats.org/spreadsheetml/2006/main" count="130" uniqueCount="113">
  <si>
    <t>Employee_ID</t>
  </si>
  <si>
    <t>Employee_Name</t>
  </si>
  <si>
    <t>Department</t>
  </si>
  <si>
    <t>Basic_Salary</t>
  </si>
  <si>
    <t>Bonus</t>
  </si>
  <si>
    <t>Working_Days</t>
  </si>
  <si>
    <t>Units_Sold</t>
  </si>
  <si>
    <t>E001</t>
  </si>
  <si>
    <t>Anjali</t>
  </si>
  <si>
    <t>Sales</t>
  </si>
  <si>
    <t>E002</t>
  </si>
  <si>
    <t>Rahul</t>
  </si>
  <si>
    <t>HR</t>
  </si>
  <si>
    <t>E003</t>
  </si>
  <si>
    <t>Sneha</t>
  </si>
  <si>
    <t>E004</t>
  </si>
  <si>
    <t>Arjun</t>
  </si>
  <si>
    <t>IT</t>
  </si>
  <si>
    <t>E005</t>
  </si>
  <si>
    <t>Meera</t>
  </si>
  <si>
    <t>Finance</t>
  </si>
  <si>
    <t>E006</t>
  </si>
  <si>
    <t>Vishnu</t>
  </si>
  <si>
    <t>E007</t>
  </si>
  <si>
    <t>Diya</t>
  </si>
  <si>
    <t>E008</t>
  </si>
  <si>
    <t>Nikhil</t>
  </si>
  <si>
    <t>E009</t>
  </si>
  <si>
    <t>Fathima</t>
  </si>
  <si>
    <t>E010</t>
  </si>
  <si>
    <t>Akshay</t>
  </si>
  <si>
    <t>E011</t>
  </si>
  <si>
    <t>Neha</t>
  </si>
  <si>
    <t>E012</t>
  </si>
  <si>
    <t>Suresh</t>
  </si>
  <si>
    <t>E013</t>
  </si>
  <si>
    <t>Asha</t>
  </si>
  <si>
    <t>E014</t>
  </si>
  <si>
    <t>Manu</t>
  </si>
  <si>
    <t>E015</t>
  </si>
  <si>
    <t>Riya</t>
  </si>
  <si>
    <t>SUM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</si>
  <si>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Basic Salary</t>
    </r>
    <r>
      <rPr>
        <sz val="11"/>
        <color theme="1"/>
        <rFont val="Aptos Narrow"/>
        <family val="2"/>
        <scheme val="minor"/>
      </rPr>
      <t xml:space="preserve"> of all employees.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</si>
  <si>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Bonus</t>
    </r>
    <r>
      <rPr>
        <sz val="11"/>
        <color theme="1"/>
        <rFont val="Aptos Narrow"/>
        <family val="2"/>
        <scheme val="minor"/>
      </rPr>
      <t xml:space="preserve"> paid to all employees.</t>
    </r>
  </si>
  <si>
    <r>
      <t xml:space="preserve">3. Calculate the </t>
    </r>
    <r>
      <rPr>
        <b/>
        <sz val="11"/>
        <color theme="1"/>
        <rFont val="Aptos Narrow"/>
        <family val="2"/>
        <scheme val="minor"/>
      </rPr>
      <t>total Working Days</t>
    </r>
    <r>
      <rPr>
        <sz val="11"/>
        <color theme="1"/>
        <rFont val="Aptos Narrow"/>
        <family val="2"/>
        <scheme val="minor"/>
      </rPr>
      <t xml:space="preserve"> of all employees.</t>
    </r>
  </si>
  <si>
    <r>
      <t xml:space="preserve">4. Calculate the </t>
    </r>
    <r>
      <rPr>
        <b/>
        <sz val="11"/>
        <color theme="1"/>
        <rFont val="Aptos Narrow"/>
        <family val="2"/>
        <scheme val="minor"/>
      </rPr>
      <t>total Units Sold</t>
    </r>
    <r>
      <rPr>
        <sz val="11"/>
        <color theme="1"/>
        <rFont val="Aptos Narrow"/>
        <family val="2"/>
        <scheme val="minor"/>
      </rPr>
      <t xml:space="preserve"> by all employees.</t>
    </r>
  </si>
  <si>
    <t>PRODUCT</t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</si>
  <si>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total salary + bonus for each employee</t>
    </r>
    <r>
      <rPr>
        <sz val="11"/>
        <color theme="1"/>
        <rFont val="Aptos Narrow"/>
        <family val="2"/>
        <scheme val="minor"/>
      </rPr>
      <t xml:space="preserve"> using an appropriate formula.</t>
    </r>
  </si>
  <si>
    <r>
      <t xml:space="preserve">6. Calculate the </t>
    </r>
    <r>
      <rPr>
        <b/>
        <sz val="11"/>
        <color theme="1"/>
        <rFont val="Aptos Narrow"/>
        <family val="2"/>
        <scheme val="minor"/>
      </rPr>
      <t>total value of Units Sold × Working Days</t>
    </r>
    <r>
      <rPr>
        <sz val="11"/>
        <color theme="1"/>
        <rFont val="Aptos Narrow"/>
        <family val="2"/>
        <scheme val="minor"/>
      </rPr>
      <t xml:space="preserve"> for each employee.</t>
    </r>
  </si>
  <si>
    <r>
      <t xml:space="preserve">7. Find the product of the </t>
    </r>
    <r>
      <rPr>
        <b/>
        <sz val="11"/>
        <color theme="1"/>
        <rFont val="Aptos Narrow"/>
        <family val="2"/>
        <scheme val="minor"/>
      </rPr>
      <t>Basic Salary of E001 and E002</t>
    </r>
    <r>
      <rPr>
        <sz val="11"/>
        <color theme="1"/>
        <rFont val="Aptos Narrow"/>
        <family val="2"/>
        <scheme val="minor"/>
      </rPr>
      <t>.</t>
    </r>
  </si>
  <si>
    <r>
      <t xml:space="preserve">8. Find the product of the </t>
    </r>
    <r>
      <rPr>
        <b/>
        <sz val="11"/>
        <color theme="1"/>
        <rFont val="Aptos Narrow"/>
        <family val="2"/>
        <scheme val="minor"/>
      </rPr>
      <t>Units Sold of E003 and E004</t>
    </r>
    <r>
      <rPr>
        <sz val="11"/>
        <color theme="1"/>
        <rFont val="Aptos Narrow"/>
        <family val="2"/>
        <scheme val="minor"/>
      </rPr>
      <t>.</t>
    </r>
  </si>
  <si>
    <t>MIN</t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</si>
  <si>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Basic Salary</t>
    </r>
    <r>
      <rPr>
        <sz val="11"/>
        <color theme="1"/>
        <rFont val="Aptos Narrow"/>
        <family val="2"/>
        <scheme val="minor"/>
      </rPr>
      <t>.</t>
    </r>
  </si>
  <si>
    <r>
      <t xml:space="preserve">10. Find the </t>
    </r>
    <r>
      <rPr>
        <b/>
        <sz val="11"/>
        <color theme="1"/>
        <rFont val="Aptos Narrow"/>
        <family val="2"/>
        <scheme val="minor"/>
      </rPr>
      <t>lowest Bonus</t>
    </r>
    <r>
      <rPr>
        <sz val="11"/>
        <color theme="1"/>
        <rFont val="Aptos Narrow"/>
        <family val="2"/>
        <scheme val="minor"/>
      </rPr>
      <t>.</t>
    </r>
  </si>
  <si>
    <r>
      <t xml:space="preserve">11. Find the </t>
    </r>
    <r>
      <rPr>
        <b/>
        <sz val="11"/>
        <color theme="1"/>
        <rFont val="Aptos Narrow"/>
        <family val="2"/>
        <scheme val="minor"/>
      </rPr>
      <t>minimum number of Working Days</t>
    </r>
    <r>
      <rPr>
        <sz val="11"/>
        <color theme="1"/>
        <rFont val="Aptos Narrow"/>
        <family val="2"/>
        <scheme val="minor"/>
      </rPr>
      <t>.</t>
    </r>
  </si>
  <si>
    <r>
      <t xml:space="preserve">12. Find the </t>
    </r>
    <r>
      <rPr>
        <b/>
        <sz val="11"/>
        <color theme="1"/>
        <rFont val="Aptos Narrow"/>
        <family val="2"/>
        <scheme val="minor"/>
      </rPr>
      <t>minimum Units Sold</t>
    </r>
    <r>
      <rPr>
        <sz val="11"/>
        <color theme="1"/>
        <rFont val="Aptos Narrow"/>
        <family val="2"/>
        <scheme val="minor"/>
      </rPr>
      <t>.</t>
    </r>
  </si>
  <si>
    <t>MAX</t>
  </si>
  <si>
    <r>
      <t xml:space="preserve">13. Find the </t>
    </r>
    <r>
      <rPr>
        <b/>
        <sz val="11"/>
        <color theme="1"/>
        <rFont val="Aptos Narrow"/>
        <family val="2"/>
        <scheme val="minor"/>
      </rPr>
      <t>highest Basic Salary</t>
    </r>
    <r>
      <rPr>
        <sz val="11"/>
        <color theme="1"/>
        <rFont val="Aptos Narrow"/>
        <family val="2"/>
        <scheme val="minor"/>
      </rPr>
      <t>.</t>
    </r>
  </si>
  <si>
    <r>
      <t xml:space="preserve">14. Find the </t>
    </r>
    <r>
      <rPr>
        <b/>
        <sz val="11"/>
        <color theme="1"/>
        <rFont val="Aptos Narrow"/>
        <family val="2"/>
        <scheme val="minor"/>
      </rPr>
      <t>highest Bonus</t>
    </r>
    <r>
      <rPr>
        <sz val="11"/>
        <color theme="1"/>
        <rFont val="Aptos Narrow"/>
        <family val="2"/>
        <scheme val="minor"/>
      </rPr>
      <t>.</t>
    </r>
  </si>
  <si>
    <r>
      <t xml:space="preserve">15. Find the </t>
    </r>
    <r>
      <rPr>
        <b/>
        <sz val="11"/>
        <color theme="1"/>
        <rFont val="Aptos Narrow"/>
        <family val="2"/>
        <scheme val="minor"/>
      </rPr>
      <t>maximum number of Working Days</t>
    </r>
    <r>
      <rPr>
        <sz val="11"/>
        <color theme="1"/>
        <rFont val="Aptos Narrow"/>
        <family val="2"/>
        <scheme val="minor"/>
      </rPr>
      <t>.</t>
    </r>
  </si>
  <si>
    <r>
      <t xml:space="preserve">16. Find the </t>
    </r>
    <r>
      <rPr>
        <b/>
        <sz val="11"/>
        <color theme="1"/>
        <rFont val="Aptos Narrow"/>
        <family val="2"/>
        <scheme val="minor"/>
      </rPr>
      <t>maximum Units Sold</t>
    </r>
    <r>
      <rPr>
        <sz val="11"/>
        <color theme="1"/>
        <rFont val="Aptos Narrow"/>
        <family val="2"/>
        <scheme val="minor"/>
      </rPr>
      <t>.</t>
    </r>
  </si>
  <si>
    <t>COUNT</t>
  </si>
  <si>
    <r>
      <t xml:space="preserve">17. Count how many </t>
    </r>
    <r>
      <rPr>
        <b/>
        <sz val="11"/>
        <color theme="1"/>
        <rFont val="Aptos Narrow"/>
        <family val="2"/>
        <scheme val="minor"/>
      </rPr>
      <t>numeric values</t>
    </r>
    <r>
      <rPr>
        <sz val="11"/>
        <color theme="1"/>
        <rFont val="Aptos Narrow"/>
        <family val="2"/>
        <scheme val="minor"/>
      </rPr>
      <t xml:space="preserve"> are present in the Basic Salary column.</t>
    </r>
  </si>
  <si>
    <t>18. Count how many numeric values are present in the Bonus column.</t>
  </si>
  <si>
    <t>19. Count how many numeric values are present in the Working Days column.</t>
  </si>
  <si>
    <t>20. Count how many numeric values are present in the Units Sold column.</t>
  </si>
  <si>
    <r>
      <t xml:space="preserve">21. Use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on the </t>
    </r>
    <r>
      <rPr>
        <b/>
        <sz val="11"/>
        <color theme="1"/>
        <rFont val="Aptos Narrow"/>
        <family val="2"/>
        <scheme val="minor"/>
      </rPr>
      <t>Employee_Name</t>
    </r>
    <r>
      <rPr>
        <sz val="11"/>
        <color theme="1"/>
        <rFont val="Aptos Narrow"/>
        <family val="2"/>
        <scheme val="minor"/>
      </rPr>
      <t xml:space="preserve"> column. What result do you get, and why?</t>
    </r>
  </si>
  <si>
    <t>COUNTA</t>
  </si>
  <si>
    <r>
      <t xml:space="preserve">22. Count the total number of </t>
    </r>
    <r>
      <rPr>
        <b/>
        <sz val="11"/>
        <color theme="1"/>
        <rFont val="Aptos Narrow"/>
        <family val="2"/>
        <scheme val="minor"/>
      </rPr>
      <t>Employee IDs</t>
    </r>
    <r>
      <rPr>
        <sz val="11"/>
        <color theme="1"/>
        <rFont val="Aptos Narrow"/>
        <family val="2"/>
        <scheme val="minor"/>
      </rPr>
      <t>.</t>
    </r>
  </si>
  <si>
    <r>
      <t xml:space="preserve">23. Count the total number of </t>
    </r>
    <r>
      <rPr>
        <b/>
        <sz val="11"/>
        <color theme="1"/>
        <rFont val="Aptos Narrow"/>
        <family val="2"/>
        <scheme val="minor"/>
      </rPr>
      <t>Employee Names</t>
    </r>
    <r>
      <rPr>
        <sz val="11"/>
        <color theme="1"/>
        <rFont val="Aptos Narrow"/>
        <family val="2"/>
        <scheme val="minor"/>
      </rPr>
      <t>.</t>
    </r>
  </si>
  <si>
    <r>
      <t xml:space="preserve">24. Count the total number of </t>
    </r>
    <r>
      <rPr>
        <b/>
        <sz val="11"/>
        <color theme="1"/>
        <rFont val="Aptos Narrow"/>
        <family val="2"/>
        <scheme val="minor"/>
      </rPr>
      <t>Departments</t>
    </r>
    <r>
      <rPr>
        <sz val="11"/>
        <color theme="1"/>
        <rFont val="Aptos Narrow"/>
        <family val="2"/>
        <scheme val="minor"/>
      </rPr>
      <t>.</t>
    </r>
  </si>
  <si>
    <r>
      <t xml:space="preserve">25. Use </t>
    </r>
    <r>
      <rPr>
        <sz val="10"/>
        <color theme="1"/>
        <rFont val="Arial Unicode MS"/>
      </rPr>
      <t>COUNTA</t>
    </r>
    <r>
      <rPr>
        <sz val="11"/>
        <color theme="1"/>
        <rFont val="Aptos Narrow"/>
        <family val="2"/>
        <scheme val="minor"/>
      </rPr>
      <t xml:space="preserve"> on the Basic Salary column. What result do you get?</t>
    </r>
  </si>
  <si>
    <r>
      <t xml:space="preserve">26. Compare the results of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COUNTA</t>
    </r>
    <r>
      <rPr>
        <sz val="11"/>
        <color theme="1"/>
        <rFont val="Aptos Narrow"/>
        <family val="2"/>
        <scheme val="minor"/>
      </rPr>
      <t xml:space="preserve"> on the Basic Salary column. What is the difference?</t>
    </r>
  </si>
  <si>
    <t>Formula Prediction</t>
  </si>
  <si>
    <r>
      <t xml:space="preserve">27. Your manager asks: </t>
    </r>
    <r>
      <rPr>
        <b/>
        <sz val="11"/>
        <color theme="1"/>
        <rFont val="Aptos Narrow"/>
        <family val="2"/>
        <scheme val="minor"/>
      </rPr>
      <t>"How much bonus has the company paid in total?"</t>
    </r>
    <r>
      <rPr>
        <sz val="11"/>
        <color theme="1"/>
        <rFont val="Aptos Narrow"/>
        <family val="2"/>
        <scheme val="minor"/>
      </rPr>
      <t xml:space="preserve"> — Which function will you use?</t>
    </r>
  </si>
  <si>
    <r>
      <t>28. "What is the highest salary in the company?"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</si>
  <si>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29. "How many employees have salary values entered?"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</si>
  <si>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30. "How many employee names are entered?"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</si>
  <si>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31. "What is the lowest number of units sold?"</t>
    </r>
    <r>
      <rPr>
        <sz val="11"/>
        <color theme="1"/>
        <rFont val="Aptos Narrow"/>
        <family val="2"/>
        <scheme val="minor"/>
      </rPr>
      <t xml:space="preserve"> — Which function?</t>
    </r>
  </si>
  <si>
    <r>
      <t>32. "Multiply the salary and bonus values of an employee."</t>
    </r>
    <r>
      <rPr>
        <sz val="11"/>
        <color theme="1"/>
        <rFont val="Aptos Narrow"/>
        <family val="2"/>
        <scheme val="minor"/>
      </rPr>
      <t xml:space="preserve"> — Which operator/function would you use?</t>
    </r>
  </si>
  <si>
    <t>Topic Name</t>
  </si>
  <si>
    <t>Syntax</t>
  </si>
  <si>
    <t>Purpose</t>
  </si>
  <si>
    <t>Description</t>
  </si>
  <si>
    <t>Example</t>
  </si>
  <si>
    <t>SUM(number1, number2, ...)</t>
  </si>
  <si>
    <t>Adds numbers together</t>
  </si>
  <si>
    <t>Used to calculate the total of numbers in selected cells or ranges.</t>
  </si>
  <si>
    <t>SUM(D2:D16)</t>
  </si>
  <si>
    <t>PRODUCT(number1, number2, ...)</t>
  </si>
  <si>
    <t>Multiplies numbers</t>
  </si>
  <si>
    <t>Multiplies all the numbers or cell values provided and returns the product.</t>
  </si>
  <si>
    <t>PRODUCT(D2:E2)</t>
  </si>
  <si>
    <t>MIN(number1, number2, ...)</t>
  </si>
  <si>
    <t>Finds the smallest value</t>
  </si>
  <si>
    <t>Returns the lowest numerical value from a range or selected cells.</t>
  </si>
  <si>
    <t>MIN(D2:D16)</t>
  </si>
  <si>
    <t>MAX(number1, number2, ...)</t>
  </si>
  <si>
    <t>Finds the largest value</t>
  </si>
  <si>
    <t>Returns the highest numerical value from a range or selected cells.</t>
  </si>
  <si>
    <t>MAX(D2:D16)</t>
  </si>
  <si>
    <t>COUNT(value1, value2, ...)</t>
  </si>
  <si>
    <t>Counts numeric values</t>
  </si>
  <si>
    <t>Counts only cells that contain numbers. Text, blank cells, and most non-numeric values are ignored.</t>
  </si>
  <si>
    <t>COUNT(D2:D16)</t>
  </si>
  <si>
    <t>COUNTA(value1, value2, ...)</t>
  </si>
  <si>
    <t>Counts non-empty cells</t>
  </si>
  <si>
    <t>Counts all cells that contain something, including numbers, text, dates, and logical values. Blank cells are not counted.</t>
  </si>
  <si>
    <t>COUNTA(B2:B16)</t>
  </si>
  <si>
    <t>EPLOYEE</t>
  </si>
  <si>
    <t>TOTAL VALUE</t>
  </si>
  <si>
    <t>DGHJ</t>
  </si>
  <si>
    <t>FJJ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</si>
</sst>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EFCE3A-0818-4908-93E3-F07E2F5925C1}" name="Table2" displayName="Table2" ref="A1:I16" totalsRowShown="0" headerRowDxfId="16" dataDxfId="15">
  <autoFilter ref="A1:I16" xr:uid="{A3EFCE3A-0818-4908-93E3-F07E2F5925C1}"/>
  <tableColumns count="9">
    <tableColumn id="1" xr3:uid="{14AD0EE1-55DB-4E97-A8E4-7F102171011A}" name="Employee_ID" dataDxfId="14"/>
    <tableColumn id="2" xr3:uid="{95E2D8D8-B1A1-4E4C-95F9-A915625E5315}" name="Employee_Name" dataDxfId="13"/>
    <tableColumn id="3" xr3:uid="{ECFB5D08-7E52-4D03-A0F8-422C6A2B9B5B}" name="Department" dataDxfId="12"/>
    <tableColumn id="4" xr3:uid="{60F4821B-5BF3-44C4-981A-1470D1F8DFD3}" name="Basic_Salary" dataDxfId="11"/>
    <tableColumn id="5" xr3:uid="{29F45C80-D77F-4F4B-BB4C-3C5D73BD34B3}" name="Bonus" dataDxfId="10"/>
    <tableColumn id="6" xr3:uid="{FAAE29FD-C959-44D2-86CD-9417F8460BF2}" name="Working_Days" dataDxfId="9"/>
    <tableColumn id="7" xr3:uid="{167F18D8-DBB8-4460-B0A6-07AABD90E68F}" name="Units_Sold" dataDxfId="8"/>
    <tableColumn id="17" xr3:uid="{CD33820A-3008-4C7F-8CE9-C9E67DE563F2}" name="EPLOYEE" dataDxfId="7">
      <calculatedColumnFormula>SUM(Table2[[#This Row],[Basic_Salary]],Table2[[#This Row],[Bonus]])</calculatedColumnFormula>
    </tableColumn>
    <tableColumn id="18" xr3:uid="{B2B6E877-BAC4-4EC6-AD25-B12B67BE7380}" name="TOTAL VALUE" dataDxfId="6">
      <calculatedColumnFormula>SUM(Table2[[#This Row],[Units_Sold]]*Table2[[#This Row],[Working_Days]])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F7B7B-D5DD-4666-8101-FCD7D87F77A3}" name="Table1" displayName="Table1" ref="A1:E7" totalsRowShown="0" headerRowDxfId="5">
  <autoFilter ref="A1:E7" xr:uid="{BF8F7B7B-D5DD-4666-8101-FCD7D87F77A3}"/>
  <tableColumns count="5">
    <tableColumn id="1" xr3:uid="{7C682479-56D2-4BC1-A8DC-E0045A44F9F7}" name="Topic Name" dataDxfId="4"/>
    <tableColumn id="2" xr3:uid="{E35E3C4B-08D9-4ED4-AEED-0A38B2B61CB0}" name="Syntax" dataDxfId="3"/>
    <tableColumn id="3" xr3:uid="{E26BCF66-00BB-4717-9E21-8F25D79556AE}" name="Purpose" dataDxfId="2"/>
    <tableColumn id="4" xr3:uid="{A3E9F4F9-C194-4117-B219-1B580D34D0EE}" name="Description" dataDxfId="1"/>
    <tableColumn id="5" xr3:uid="{00FBDD2C-9984-4EB0-9685-190DE5EB0AAC}" name="Exampl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2649-D942-4D96-B84C-148809257061}">
  <dimension ref="A1:O26"/>
  <sheetViews>
    <sheetView tabSelected="1" topLeftCell="C1" zoomScaleNormal="100" workbookViewId="0">
      <selection activeCell="M2" sqref="M2"/>
    </sheetView>
  </sheetViews>
  <sheetFormatPr defaultRowHeight="14.5"/>
  <cols>
    <col min="1" max="1" width="15" customWidth="1"/>
    <col min="2" max="2" width="18.26953125" customWidth="1"/>
    <col min="3" max="3" width="14" customWidth="1"/>
    <col min="4" max="4" width="14.1796875" customWidth="1"/>
    <col min="6" max="6" width="15.81640625" customWidth="1"/>
    <col min="7" max="7" width="12.7265625" customWidth="1"/>
    <col min="11" max="11" width="11.1796875" customWidth="1"/>
    <col min="13" max="13" width="10" bestFit="1" customWidth="1"/>
  </cols>
  <sheetData>
    <row r="1" spans="1:15" ht="29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109</v>
      </c>
      <c r="I1" s="3" t="s">
        <v>110</v>
      </c>
    </row>
    <row r="2" spans="1:15">
      <c r="A2" s="4" t="s">
        <v>7</v>
      </c>
      <c r="B2" s="4" t="s">
        <v>8</v>
      </c>
      <c r="C2" s="4" t="s">
        <v>9</v>
      </c>
      <c r="D2" s="2">
        <v>28000</v>
      </c>
      <c r="E2" s="2">
        <v>3000</v>
      </c>
      <c r="F2" s="2">
        <v>24</v>
      </c>
      <c r="G2" s="2">
        <v>15</v>
      </c>
      <c r="H2" s="2">
        <f>SUM(Table2[[#This Row],[Basic_Salary]],Table2[[#This Row],[Bonus]])</f>
        <v>31000</v>
      </c>
      <c r="I2" s="2">
        <f>SUM(Table2[[#This Row],[Units_Sold]]*Table2[[#This Row],[Working_Days]])</f>
        <v>360</v>
      </c>
      <c r="L2">
        <v>1</v>
      </c>
      <c r="M2">
        <f>SUM(D2:D16)</f>
        <v>532000</v>
      </c>
      <c r="N2">
        <v>27</v>
      </c>
      <c r="O2">
        <f>SUM(E2:E16)</f>
        <v>56000</v>
      </c>
    </row>
    <row r="3" spans="1:15">
      <c r="A3" s="4" t="s">
        <v>10</v>
      </c>
      <c r="B3" s="4" t="s">
        <v>11</v>
      </c>
      <c r="C3" s="4" t="s">
        <v>12</v>
      </c>
      <c r="D3" s="2">
        <v>32000</v>
      </c>
      <c r="E3" s="2">
        <v>2500</v>
      </c>
      <c r="F3" s="2">
        <v>24</v>
      </c>
      <c r="G3" s="2">
        <v>12</v>
      </c>
      <c r="H3" s="2">
        <f>SUM(Table2[[#This Row],[Basic_Salary]],Table2[[#This Row],[Bonus]])</f>
        <v>34500</v>
      </c>
      <c r="I3" s="2">
        <f>SUM(Table2[[#This Row],[Units_Sold]]*Table2[[#This Row],[Working_Days]])</f>
        <v>288</v>
      </c>
      <c r="L3">
        <v>2</v>
      </c>
      <c r="M3">
        <f>SUM(E2:E16)</f>
        <v>56000</v>
      </c>
      <c r="N3">
        <v>28</v>
      </c>
      <c r="O3">
        <f>MAX(D2:D16)</f>
        <v>48000</v>
      </c>
    </row>
    <row r="4" spans="1:15">
      <c r="A4" s="4" t="s">
        <v>13</v>
      </c>
      <c r="B4" s="4" t="s">
        <v>14</v>
      </c>
      <c r="C4" s="4" t="s">
        <v>9</v>
      </c>
      <c r="D4" s="2">
        <v>26000</v>
      </c>
      <c r="E4" s="2">
        <v>3500</v>
      </c>
      <c r="F4" s="2">
        <v>24</v>
      </c>
      <c r="G4" s="2">
        <v>18</v>
      </c>
      <c r="H4" s="2">
        <f>SUM(Table2[[#This Row],[Basic_Salary]],Table2[[#This Row],[Bonus]])</f>
        <v>29500</v>
      </c>
      <c r="I4" s="2">
        <f>SUM(Table2[[#This Row],[Units_Sold]]*Table2[[#This Row],[Working_Days]])</f>
        <v>432</v>
      </c>
      <c r="L4">
        <v>3</v>
      </c>
      <c r="M4">
        <f>SUM(F2:F16)</f>
        <v>360</v>
      </c>
      <c r="N4">
        <v>29</v>
      </c>
      <c r="O4">
        <f>COUNT(D2:D16)</f>
        <v>15</v>
      </c>
    </row>
    <row r="5" spans="1:15">
      <c r="A5" s="4" t="s">
        <v>15</v>
      </c>
      <c r="B5" s="4" t="s">
        <v>16</v>
      </c>
      <c r="C5" s="4" t="s">
        <v>17</v>
      </c>
      <c r="D5" s="2">
        <v>45000</v>
      </c>
      <c r="E5" s="2">
        <v>5000</v>
      </c>
      <c r="F5" s="2">
        <v>24</v>
      </c>
      <c r="G5" s="2">
        <v>20</v>
      </c>
      <c r="H5" s="2">
        <f>SUM(Table2[[#This Row],[Basic_Salary]],Table2[[#This Row],[Bonus]])</f>
        <v>50000</v>
      </c>
      <c r="I5" s="2">
        <f>SUM(Table2[[#This Row],[Units_Sold]]*Table2[[#This Row],[Working_Days]])</f>
        <v>480</v>
      </c>
      <c r="L5">
        <v>4</v>
      </c>
      <c r="M5">
        <f>SUM(G2:G16)</f>
        <v>237</v>
      </c>
      <c r="N5">
        <v>30</v>
      </c>
      <c r="O5">
        <f>COUNTA(B2:B16)</f>
        <v>15</v>
      </c>
    </row>
    <row r="6" spans="1:15">
      <c r="A6" s="4" t="s">
        <v>18</v>
      </c>
      <c r="B6" s="4" t="s">
        <v>19</v>
      </c>
      <c r="C6" s="4" t="s">
        <v>20</v>
      </c>
      <c r="D6" s="2">
        <v>38000</v>
      </c>
      <c r="E6" s="2">
        <v>4000</v>
      </c>
      <c r="F6" s="2">
        <v>24</v>
      </c>
      <c r="G6" s="2">
        <v>14</v>
      </c>
      <c r="H6" s="2">
        <f>SUM(Table2[[#This Row],[Basic_Salary]],Table2[[#This Row],[Bonus]])</f>
        <v>42000</v>
      </c>
      <c r="I6" s="2">
        <f>SUM(Table2[[#This Row],[Units_Sold]]*Table2[[#This Row],[Working_Days]])</f>
        <v>336</v>
      </c>
      <c r="N6">
        <v>31</v>
      </c>
      <c r="O6">
        <f>MIN(G2:G16)</f>
        <v>10</v>
      </c>
    </row>
    <row r="7" spans="1:15">
      <c r="A7" s="4" t="s">
        <v>21</v>
      </c>
      <c r="B7" s="4" t="s">
        <v>22</v>
      </c>
      <c r="C7" s="4" t="s">
        <v>17</v>
      </c>
      <c r="D7" s="2">
        <v>42000</v>
      </c>
      <c r="E7" s="2">
        <v>4500</v>
      </c>
      <c r="F7" s="2">
        <v>24</v>
      </c>
      <c r="G7" s="2">
        <v>17</v>
      </c>
      <c r="H7" s="2">
        <f>SUM(Table2[[#This Row],[Basic_Salary]],Table2[[#This Row],[Bonus]])</f>
        <v>46500</v>
      </c>
      <c r="I7" s="2">
        <f>SUM(Table2[[#This Row],[Units_Sold]]*Table2[[#This Row],[Working_Days]])</f>
        <v>408</v>
      </c>
      <c r="L7">
        <v>7</v>
      </c>
      <c r="M7">
        <f>PRODUCT(D2,D3)</f>
        <v>896000000</v>
      </c>
      <c r="N7">
        <v>32</v>
      </c>
      <c r="O7">
        <f>PRODUCT(D2,E2)</f>
        <v>84000000</v>
      </c>
    </row>
    <row r="8" spans="1:15">
      <c r="A8" s="4" t="s">
        <v>23</v>
      </c>
      <c r="B8" s="4" t="s">
        <v>24</v>
      </c>
      <c r="C8" s="4" t="s">
        <v>9</v>
      </c>
      <c r="D8" s="2">
        <v>30000</v>
      </c>
      <c r="E8" s="2">
        <v>3200</v>
      </c>
      <c r="F8" s="2">
        <v>24</v>
      </c>
      <c r="G8" s="2">
        <v>11</v>
      </c>
      <c r="H8" s="2">
        <f>SUM(Table2[[#This Row],[Basic_Salary]],Table2[[#This Row],[Bonus]])</f>
        <v>33200</v>
      </c>
      <c r="I8" s="2">
        <f>SUM(Table2[[#This Row],[Units_Sold]]*Table2[[#This Row],[Working_Days]])</f>
        <v>264</v>
      </c>
      <c r="L8">
        <v>8</v>
      </c>
      <c r="M8">
        <f>PRODUCT(G4,G5)</f>
        <v>360</v>
      </c>
    </row>
    <row r="9" spans="1:15">
      <c r="A9" s="4" t="s">
        <v>25</v>
      </c>
      <c r="B9" s="4" t="s">
        <v>26</v>
      </c>
      <c r="C9" s="4" t="s">
        <v>12</v>
      </c>
      <c r="D9" s="2">
        <v>34000</v>
      </c>
      <c r="E9" s="2">
        <v>2800</v>
      </c>
      <c r="F9" s="2">
        <v>24</v>
      </c>
      <c r="G9" s="2">
        <v>16</v>
      </c>
      <c r="H9" s="2">
        <f>SUM(Table2[[#This Row],[Basic_Salary]],Table2[[#This Row],[Bonus]])</f>
        <v>36800</v>
      </c>
      <c r="I9" s="2">
        <f>SUM(Table2[[#This Row],[Units_Sold]]*Table2[[#This Row],[Working_Days]])</f>
        <v>384</v>
      </c>
      <c r="L9">
        <v>9</v>
      </c>
      <c r="M9">
        <f>MIN(D2:D16)</f>
        <v>26000</v>
      </c>
    </row>
    <row r="10" spans="1:15">
      <c r="A10" s="4" t="s">
        <v>27</v>
      </c>
      <c r="B10" s="4" t="s">
        <v>28</v>
      </c>
      <c r="C10" s="4" t="s">
        <v>20</v>
      </c>
      <c r="D10" s="2">
        <v>36000</v>
      </c>
      <c r="E10" s="2">
        <v>3800</v>
      </c>
      <c r="F10" s="2">
        <v>24</v>
      </c>
      <c r="G10" s="2">
        <v>13</v>
      </c>
      <c r="H10" s="2">
        <f>SUM(Table2[[#This Row],[Basic_Salary]],Table2[[#This Row],[Bonus]])</f>
        <v>39800</v>
      </c>
      <c r="I10" s="2">
        <f>SUM(Table2[[#This Row],[Units_Sold]]*Table2[[#This Row],[Working_Days]])</f>
        <v>312</v>
      </c>
      <c r="L10">
        <v>10</v>
      </c>
      <c r="M10">
        <f>MIN(Table2[Bonus])</f>
        <v>2500</v>
      </c>
    </row>
    <row r="11" spans="1:15">
      <c r="A11" s="4" t="s">
        <v>29</v>
      </c>
      <c r="B11" s="4" t="s">
        <v>30</v>
      </c>
      <c r="C11" s="4" t="s">
        <v>17</v>
      </c>
      <c r="D11" s="2">
        <v>48000</v>
      </c>
      <c r="E11" s="2">
        <v>5500</v>
      </c>
      <c r="F11" s="2">
        <v>24</v>
      </c>
      <c r="G11" s="2">
        <v>22</v>
      </c>
      <c r="H11" s="2">
        <f>SUM(Table2[[#This Row],[Basic_Salary]],Table2[[#This Row],[Bonus]])</f>
        <v>53500</v>
      </c>
      <c r="I11" s="2">
        <f>SUM(Table2[[#This Row],[Units_Sold]]*Table2[[#This Row],[Working_Days]])</f>
        <v>528</v>
      </c>
      <c r="L11">
        <v>11</v>
      </c>
      <c r="M11">
        <f>MIN(F2:F14)</f>
        <v>24</v>
      </c>
    </row>
    <row r="12" spans="1:15">
      <c r="A12" s="4" t="s">
        <v>31</v>
      </c>
      <c r="B12" s="4" t="s">
        <v>32</v>
      </c>
      <c r="C12" s="4" t="s">
        <v>9</v>
      </c>
      <c r="D12" s="2">
        <v>29000</v>
      </c>
      <c r="E12" s="2">
        <v>3000</v>
      </c>
      <c r="F12" s="2">
        <v>24</v>
      </c>
      <c r="G12" s="2">
        <v>15</v>
      </c>
      <c r="H12" s="2">
        <f>SUM(Table2[[#This Row],[Basic_Salary]],Table2[[#This Row],[Bonus]])</f>
        <v>32000</v>
      </c>
      <c r="I12" s="2">
        <f>SUM(Table2[[#This Row],[Units_Sold]]*Table2[[#This Row],[Working_Days]])</f>
        <v>360</v>
      </c>
      <c r="L12">
        <v>12</v>
      </c>
      <c r="M12">
        <f>MIN(G2:G16)</f>
        <v>10</v>
      </c>
    </row>
    <row r="13" spans="1:15">
      <c r="A13" s="4" t="s">
        <v>33</v>
      </c>
      <c r="B13" s="4" t="s">
        <v>34</v>
      </c>
      <c r="C13" s="4" t="s">
        <v>20</v>
      </c>
      <c r="D13" s="2">
        <v>40000</v>
      </c>
      <c r="E13" s="2">
        <v>4200</v>
      </c>
      <c r="F13" s="2">
        <v>24</v>
      </c>
      <c r="G13" s="2">
        <v>19</v>
      </c>
      <c r="H13" s="2">
        <f>SUM(Table2[[#This Row],[Basic_Salary]],Table2[[#This Row],[Bonus]])</f>
        <v>44200</v>
      </c>
      <c r="I13" s="2">
        <f>SUM(Table2[[#This Row],[Units_Sold]]*Table2[[#This Row],[Working_Days]])</f>
        <v>456</v>
      </c>
      <c r="L13">
        <v>13</v>
      </c>
      <c r="M13">
        <f>MAX(D2:D16)</f>
        <v>48000</v>
      </c>
    </row>
    <row r="14" spans="1:15">
      <c r="A14" s="4" t="s">
        <v>35</v>
      </c>
      <c r="B14" s="4" t="s">
        <v>36</v>
      </c>
      <c r="C14" s="4" t="s">
        <v>12</v>
      </c>
      <c r="D14" s="2">
        <v>31000</v>
      </c>
      <c r="E14" s="2">
        <v>2600</v>
      </c>
      <c r="F14" s="2">
        <v>24</v>
      </c>
      <c r="G14" s="2">
        <v>10</v>
      </c>
      <c r="H14" s="2">
        <f>SUM(Table2[[#This Row],[Basic_Salary]],Table2[[#This Row],[Bonus]])</f>
        <v>33600</v>
      </c>
      <c r="I14" s="2">
        <f>SUM(Table2[[#This Row],[Units_Sold]]*Table2[[#This Row],[Working_Days]])</f>
        <v>240</v>
      </c>
      <c r="L14">
        <v>14</v>
      </c>
      <c r="M14">
        <f>MAX(E2:E16)</f>
        <v>5500</v>
      </c>
    </row>
    <row r="15" spans="1:15">
      <c r="A15" s="4" t="s">
        <v>37</v>
      </c>
      <c r="B15" s="4" t="s">
        <v>38</v>
      </c>
      <c r="C15" s="4" t="s">
        <v>17</v>
      </c>
      <c r="D15" s="2">
        <v>46000</v>
      </c>
      <c r="E15" s="2">
        <v>5000</v>
      </c>
      <c r="F15" s="2">
        <v>24</v>
      </c>
      <c r="G15" s="2">
        <v>21</v>
      </c>
      <c r="H15" s="2">
        <f>SUM(Table2[[#This Row],[Basic_Salary]],Table2[[#This Row],[Bonus]])</f>
        <v>51000</v>
      </c>
      <c r="I15" s="2">
        <f>SUM(Table2[[#This Row],[Units_Sold]]*Table2[[#This Row],[Working_Days]])</f>
        <v>504</v>
      </c>
      <c r="L15">
        <v>15</v>
      </c>
      <c r="M15">
        <f>MAX(Table2[Working_Days])</f>
        <v>24</v>
      </c>
    </row>
    <row r="16" spans="1:15">
      <c r="A16" s="4" t="s">
        <v>39</v>
      </c>
      <c r="B16" s="4" t="s">
        <v>40</v>
      </c>
      <c r="C16" s="4" t="s">
        <v>9</v>
      </c>
      <c r="D16" s="2">
        <v>27000</v>
      </c>
      <c r="E16" s="2">
        <v>3400</v>
      </c>
      <c r="F16" s="2">
        <v>24</v>
      </c>
      <c r="G16" s="2">
        <v>14</v>
      </c>
      <c r="H16" s="2">
        <f>SUM(Table2[[#This Row],[Basic_Salary]],Table2[[#This Row],[Bonus]])</f>
        <v>30400</v>
      </c>
      <c r="I16" s="2">
        <f>SUM(Table2[[#This Row],[Units_Sold]]*Table2[[#This Row],[Working_Days]])</f>
        <v>336</v>
      </c>
      <c r="L16">
        <v>16</v>
      </c>
      <c r="M16">
        <f>MAX(G2:G16)</f>
        <v>22</v>
      </c>
    </row>
    <row r="17" spans="12:13">
      <c r="L17">
        <v>17</v>
      </c>
      <c r="M17">
        <f>COUNT(D2:D16)</f>
        <v>15</v>
      </c>
    </row>
    <row r="18" spans="12:13">
      <c r="L18">
        <v>18</v>
      </c>
      <c r="M18">
        <f>COUNT(E2:E16)</f>
        <v>15</v>
      </c>
    </row>
    <row r="19" spans="12:13">
      <c r="L19">
        <v>19</v>
      </c>
      <c r="M19">
        <f>COUNT(F2:F16)</f>
        <v>15</v>
      </c>
    </row>
    <row r="20" spans="12:13">
      <c r="L20">
        <v>20</v>
      </c>
      <c r="M20">
        <f>COUNT(G2:G16)</f>
        <v>15</v>
      </c>
    </row>
    <row r="21" spans="12:13">
      <c r="L21">
        <v>21</v>
      </c>
      <c r="M21">
        <f>COUNT(Table2[Employee_Name])</f>
        <v>0</v>
      </c>
    </row>
    <row r="22" spans="12:13">
      <c r="L22">
        <v>22</v>
      </c>
      <c r="M22">
        <f>COUNTA(Table2[Employee_ID])</f>
        <v>15</v>
      </c>
    </row>
    <row r="23" spans="12:13">
      <c r="L23">
        <v>23</v>
      </c>
      <c r="M23">
        <f>COUNTA(Table2[Employee_Name])</f>
        <v>15</v>
      </c>
    </row>
    <row r="24" spans="12:13">
      <c r="L24">
        <v>24</v>
      </c>
      <c r="M24">
        <f>COUNTA(C2:C16)</f>
        <v>15</v>
      </c>
    </row>
    <row r="25" spans="12:13">
      <c r="L25">
        <v>25</v>
      </c>
      <c r="M25">
        <f>COUNTA(D2:D16)</f>
        <v>15</v>
      </c>
    </row>
    <row r="26" spans="12:13">
      <c r="L26">
        <v>26</v>
      </c>
      <c r="M26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DD1D-80E4-4B07-927D-9D744DF48C8D}">
  <dimension ref="A1:E7"/>
  <sheetViews>
    <sheetView workbookViewId="0">
      <selection activeCell="G3" sqref="G3"/>
    </sheetView>
  </sheetViews>
  <sheetFormatPr defaultRowHeight="14.5"/>
  <cols>
    <col min="1" max="1" width="41.7265625" customWidth="1"/>
    <col min="2" max="2" width="25.1796875" customWidth="1"/>
    <col min="3" max="3" width="31.81640625" customWidth="1"/>
    <col min="4" max="4" width="31.453125" customWidth="1"/>
    <col min="5" max="5" width="20.81640625" customWidth="1"/>
  </cols>
  <sheetData>
    <row r="1" spans="1: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ht="29">
      <c r="A2" s="8" t="s">
        <v>41</v>
      </c>
      <c r="B2" s="9" t="s">
        <v>85</v>
      </c>
      <c r="C2" s="4" t="s">
        <v>86</v>
      </c>
      <c r="D2" s="4" t="s">
        <v>87</v>
      </c>
      <c r="E2" s="9" t="s">
        <v>88</v>
      </c>
    </row>
    <row r="3" spans="1:5" ht="43.5">
      <c r="A3" s="8" t="s">
        <v>46</v>
      </c>
      <c r="B3" s="9" t="s">
        <v>89</v>
      </c>
      <c r="C3" s="4" t="s">
        <v>90</v>
      </c>
      <c r="D3" s="4" t="s">
        <v>91</v>
      </c>
      <c r="E3" s="9" t="s">
        <v>92</v>
      </c>
    </row>
    <row r="4" spans="1:5" ht="29">
      <c r="A4" s="8" t="s">
        <v>51</v>
      </c>
      <c r="B4" s="9" t="s">
        <v>93</v>
      </c>
      <c r="C4" s="4" t="s">
        <v>94</v>
      </c>
      <c r="D4" s="4" t="s">
        <v>95</v>
      </c>
      <c r="E4" s="9" t="s">
        <v>96</v>
      </c>
    </row>
    <row r="5" spans="1:5" ht="29">
      <c r="A5" s="8" t="s">
        <v>56</v>
      </c>
      <c r="B5" s="9" t="s">
        <v>97</v>
      </c>
      <c r="C5" s="4" t="s">
        <v>98</v>
      </c>
      <c r="D5" s="4" t="s">
        <v>99</v>
      </c>
      <c r="E5" s="9" t="s">
        <v>100</v>
      </c>
    </row>
    <row r="6" spans="1:5" ht="43.5">
      <c r="A6" s="8" t="s">
        <v>61</v>
      </c>
      <c r="B6" s="9" t="s">
        <v>101</v>
      </c>
      <c r="C6" s="4" t="s">
        <v>102</v>
      </c>
      <c r="D6" s="4" t="s">
        <v>103</v>
      </c>
      <c r="E6" s="9" t="s">
        <v>104</v>
      </c>
    </row>
    <row r="7" spans="1:5" ht="58">
      <c r="A7" s="8" t="s">
        <v>67</v>
      </c>
      <c r="B7" s="9" t="s">
        <v>105</v>
      </c>
      <c r="C7" s="4" t="s">
        <v>106</v>
      </c>
      <c r="D7" s="4" t="s">
        <v>107</v>
      </c>
      <c r="E7" s="9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598A-9B8F-4F85-9D22-7CEEE1CF0B70}">
  <dimension ref="A1:A52"/>
  <sheetViews>
    <sheetView showGridLines="0" topLeftCell="A43" workbookViewId="0">
      <selection activeCell="A29" sqref="A29"/>
    </sheetView>
  </sheetViews>
  <sheetFormatPr defaultRowHeight="14.5"/>
  <cols>
    <col min="1" max="1" width="73.81640625" customWidth="1"/>
  </cols>
  <sheetData>
    <row r="1" spans="1:1" ht="17.5">
      <c r="A1" s="5" t="s">
        <v>41</v>
      </c>
    </row>
    <row r="2" spans="1:1">
      <c r="A2" s="6"/>
    </row>
    <row r="3" spans="1:1">
      <c r="A3" s="6" t="s">
        <v>42</v>
      </c>
    </row>
    <row r="4" spans="1:1">
      <c r="A4" s="6" t="s">
        <v>43</v>
      </c>
    </row>
    <row r="5" spans="1:1">
      <c r="A5" s="6" t="s">
        <v>44</v>
      </c>
    </row>
    <row r="6" spans="1:1">
      <c r="A6" s="6" t="s">
        <v>45</v>
      </c>
    </row>
    <row r="8" spans="1:1" ht="17.5">
      <c r="A8" s="5" t="s">
        <v>46</v>
      </c>
    </row>
    <row r="9" spans="1:1">
      <c r="A9" s="6"/>
    </row>
    <row r="10" spans="1:1">
      <c r="A10" s="6" t="s">
        <v>47</v>
      </c>
    </row>
    <row r="11" spans="1:1">
      <c r="A11" s="6" t="s">
        <v>48</v>
      </c>
    </row>
    <row r="12" spans="1:1">
      <c r="A12" s="6" t="s">
        <v>49</v>
      </c>
    </row>
    <row r="13" spans="1:1">
      <c r="A13" s="6" t="s">
        <v>50</v>
      </c>
    </row>
    <row r="15" spans="1:1" ht="17.5">
      <c r="A15" s="5" t="s">
        <v>51</v>
      </c>
    </row>
    <row r="16" spans="1:1">
      <c r="A16" s="6"/>
    </row>
    <row r="17" spans="1:1">
      <c r="A17" s="6" t="s">
        <v>52</v>
      </c>
    </row>
    <row r="18" spans="1:1">
      <c r="A18" s="6" t="s">
        <v>53</v>
      </c>
    </row>
    <row r="19" spans="1:1">
      <c r="A19" s="6" t="s">
        <v>54</v>
      </c>
    </row>
    <row r="20" spans="1:1">
      <c r="A20" s="6" t="s">
        <v>55</v>
      </c>
    </row>
    <row r="22" spans="1:1" ht="17.5">
      <c r="A22" s="5" t="s">
        <v>56</v>
      </c>
    </row>
    <row r="23" spans="1:1">
      <c r="A23" s="6"/>
    </row>
    <row r="24" spans="1:1">
      <c r="A24" s="6" t="s">
        <v>57</v>
      </c>
    </row>
    <row r="25" spans="1:1">
      <c r="A25" s="6" t="s">
        <v>58</v>
      </c>
    </row>
    <row r="26" spans="1:1">
      <c r="A26" s="6" t="s">
        <v>59</v>
      </c>
    </row>
    <row r="27" spans="1:1">
      <c r="A27" s="6" t="s">
        <v>60</v>
      </c>
    </row>
    <row r="29" spans="1:1" ht="17.5">
      <c r="A29" s="5" t="s">
        <v>61</v>
      </c>
    </row>
    <row r="30" spans="1:1">
      <c r="A30" s="6"/>
    </row>
    <row r="31" spans="1:1">
      <c r="A31" s="6" t="s">
        <v>62</v>
      </c>
    </row>
    <row r="32" spans="1:1">
      <c r="A32" s="6" t="s">
        <v>63</v>
      </c>
    </row>
    <row r="33" spans="1:1">
      <c r="A33" s="6" t="s">
        <v>64</v>
      </c>
    </row>
    <row r="34" spans="1:1">
      <c r="A34" s="6" t="s">
        <v>65</v>
      </c>
    </row>
    <row r="35" spans="1:1">
      <c r="A35" s="6" t="s">
        <v>66</v>
      </c>
    </row>
    <row r="37" spans="1:1" ht="17.5">
      <c r="A37" s="5" t="s">
        <v>67</v>
      </c>
    </row>
    <row r="38" spans="1:1">
      <c r="A38" s="6"/>
    </row>
    <row r="39" spans="1:1">
      <c r="A39" s="6" t="s">
        <v>68</v>
      </c>
    </row>
    <row r="40" spans="1:1">
      <c r="A40" s="6" t="s">
        <v>69</v>
      </c>
    </row>
    <row r="41" spans="1:1">
      <c r="A41" s="6" t="s">
        <v>70</v>
      </c>
    </row>
    <row r="42" spans="1:1">
      <c r="A42" s="6" t="s">
        <v>71</v>
      </c>
    </row>
    <row r="43" spans="1:1">
      <c r="A43" s="6" t="s">
        <v>72</v>
      </c>
    </row>
    <row r="45" spans="1:1" ht="17.5">
      <c r="A45" s="5" t="s">
        <v>73</v>
      </c>
    </row>
    <row r="46" spans="1:1">
      <c r="A46" s="6"/>
    </row>
    <row r="47" spans="1:1">
      <c r="A47" s="6" t="s">
        <v>74</v>
      </c>
    </row>
    <row r="48" spans="1:1">
      <c r="A48" s="7" t="s">
        <v>75</v>
      </c>
    </row>
    <row r="49" spans="1:1">
      <c r="A49" s="7" t="s">
        <v>76</v>
      </c>
    </row>
    <row r="50" spans="1:1">
      <c r="A50" s="7" t="s">
        <v>77</v>
      </c>
    </row>
    <row r="51" spans="1:1">
      <c r="A51" s="7" t="s">
        <v>78</v>
      </c>
    </row>
    <row r="52" spans="1:1">
      <c r="A52" s="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A143-794C-4A5D-88A2-20150232635C}">
  <dimension ref="A1:D6"/>
  <sheetViews>
    <sheetView zoomScale="190" zoomScaleNormal="190" workbookViewId="0">
      <selection activeCell="D4" sqref="D4"/>
    </sheetView>
  </sheetViews>
  <sheetFormatPr defaultRowHeight="14.5"/>
  <sheetData>
    <row r="1" spans="1:4">
      <c r="A1">
        <v>465</v>
      </c>
    </row>
    <row r="2" spans="1:4">
      <c r="A2" t="s">
        <v>111</v>
      </c>
      <c r="D2">
        <f>COUNT(A1:A6)</f>
        <v>3</v>
      </c>
    </row>
    <row r="3" spans="1:4">
      <c r="A3">
        <v>687</v>
      </c>
    </row>
    <row r="4" spans="1:4">
      <c r="D4">
        <f>COUNTA(A1:A6)</f>
        <v>5</v>
      </c>
    </row>
    <row r="5" spans="1:4">
      <c r="A5" t="s">
        <v>112</v>
      </c>
    </row>
    <row r="6" spans="1:4">
      <c r="A6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NOTES</vt:lpstr>
      <vt:lpstr>TASKS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edakuni</dc:creator>
  <cp:lastModifiedBy>user</cp:lastModifiedBy>
  <dcterms:created xsi:type="dcterms:W3CDTF">2026-09-02T05:33:04Z</dcterms:created>
  <dcterms:modified xsi:type="dcterms:W3CDTF">2026-09-16T07:41:33Z</dcterms:modified>
</cp:coreProperties>
</file>