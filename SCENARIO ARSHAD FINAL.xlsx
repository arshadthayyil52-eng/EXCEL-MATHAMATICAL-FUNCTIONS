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0BBF25E-41FB-4FBC-BB62-E9A6A6801F19}" xr6:coauthVersionLast="47" xr6:coauthVersionMax="47" xr10:uidLastSave="{00000000-0000-0000-0000-000000000000}"/>
  <bookViews>
    <workbookView xWindow="-110" yWindow="-110" windowWidth="19420" windowHeight="10420" xr2:uid="{BF7D1A08-5D6E-4A54-B258-09272001E728}"/>
  </bookViews>
  <sheets>
    <sheet name="Sheet5" sheetId="5" r:id="rId1"/>
    <sheet name="Sheet3" sheetId="3" r:id="rId2"/>
    <sheet name="Sheet4" sheetId="4" r:id="rId3"/>
    <sheet name="Sheet1" sheetId="1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C8" i="4"/>
  <c r="J5" i="3"/>
  <c r="L5" i="3"/>
  <c r="K5" i="3"/>
  <c r="C7" i="2"/>
  <c r="C9" i="1"/>
  <c r="J6" i="3" l="1"/>
</calcChain>
</file>

<file path=xl/sharedStrings.xml><?xml version="1.0" encoding="utf-8"?>
<sst xmlns="http://schemas.openxmlformats.org/spreadsheetml/2006/main" count="40" uniqueCount="33">
  <si>
    <t>SCENARIO</t>
  </si>
  <si>
    <t>SELLING PRICE</t>
  </si>
  <si>
    <t>UNIT SOLD</t>
  </si>
  <si>
    <t>REVENUE</t>
  </si>
  <si>
    <t>WORST SCENARIO</t>
  </si>
  <si>
    <t>EMPLOYEE PROJECT COST</t>
  </si>
  <si>
    <t>EMPLOYEES</t>
  </si>
  <si>
    <t>WORKING DAYS</t>
  </si>
  <si>
    <t>COST</t>
  </si>
  <si>
    <t>RESULT</t>
  </si>
  <si>
    <t>NORMAL COST</t>
  </si>
  <si>
    <t>SALES</t>
  </si>
  <si>
    <t>RESTORENT OPRATION</t>
  </si>
  <si>
    <t>ORDER</t>
  </si>
  <si>
    <t>AVG ORDER VALUE</t>
  </si>
  <si>
    <t>FOOD COST</t>
  </si>
  <si>
    <t>OPRATING COST</t>
  </si>
  <si>
    <t>NORMAL DEMAND</t>
  </si>
  <si>
    <t>REVENNUE</t>
  </si>
  <si>
    <t>FOOD EXPENSE</t>
  </si>
  <si>
    <t>OPRATING EXPENCE</t>
  </si>
  <si>
    <t>TRAINING PROGRAM COST</t>
  </si>
  <si>
    <t>STUDENT</t>
  </si>
  <si>
    <t>SESSION</t>
  </si>
  <si>
    <t>TRAINING FEE</t>
  </si>
  <si>
    <t>METIRIAL COST</t>
  </si>
  <si>
    <t>LARGE BATCH</t>
  </si>
  <si>
    <t>EVENT BUDGET PLANNING</t>
  </si>
  <si>
    <t>ATTENDEES</t>
  </si>
  <si>
    <t>VENUE COST</t>
  </si>
  <si>
    <t>CATERING\P</t>
  </si>
  <si>
    <t>DECRATION</t>
  </si>
  <si>
    <t>PREMIUM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</si>
</sst>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A767-C6C1-4F6E-8BE8-D00EFC379977}">
  <dimension ref="B2:F8"/>
  <sheetViews>
    <sheetView tabSelected="1" workbookViewId="0">
      <selection activeCell="F12" sqref="F12"/>
    </sheetView>
  </sheetViews>
  <sheetFormatPr defaultRowHeight="14.5" x14ac:dyDescent="0.35"/>
  <cols>
    <col min="2" max="2" width="24.453125" customWidth="1"/>
    <col min="3" max="3" width="10.1796875" customWidth="1"/>
    <col min="4" max="4" width="11.453125" customWidth="1"/>
    <col min="5" max="5" width="11.54296875" customWidth="1"/>
    <col min="6" max="7" width="11.08984375" customWidth="1"/>
  </cols>
  <sheetData>
    <row r="2" spans="2:6" x14ac:dyDescent="0.35">
      <c r="B2" s="4" t="s">
        <v>27</v>
      </c>
    </row>
    <row r="5" spans="2:6" x14ac:dyDescent="0.35">
      <c r="B5" t="s">
        <v>0</v>
      </c>
      <c r="C5" t="s">
        <v>28</v>
      </c>
      <c r="D5" t="s">
        <v>29</v>
      </c>
      <c r="E5" t="s">
        <v>30</v>
      </c>
      <c r="F5" t="s">
        <v>31</v>
      </c>
    </row>
    <row r="6" spans="2:6" x14ac:dyDescent="0.35">
      <c r="B6" t="s">
        <v>32</v>
      </c>
      <c r="C6">
        <v>500</v>
      </c>
      <c r="D6">
        <v>120000</v>
      </c>
      <c r="E6">
        <v>1200</v>
      </c>
      <c r="F6">
        <v>80000</v>
      </c>
    </row>
    <row r="8" spans="2:6" x14ac:dyDescent="0.35">
      <c r="B8" s="2" t="s">
        <v>9</v>
      </c>
      <c r="C8" s="2">
        <f>C6*E6+D6+F6</f>
        <v>800000</v>
      </c>
    </row>
  </sheetData>
  <scenarios current="2" show="2">
    <scenario name="BUDGET EVENT" locked="1" count="5" user="user" comment="Created by user on 9/24/2026">
      <inputCells r="B6" val="BUDGET EVENT"/>
      <inputCells r="C6" val="100"/>
      <inputCells r="D6" val="40000"/>
      <inputCells r="E6" val="500"/>
      <inputCells r="F6" val="20000"/>
    </scenario>
    <scenario name="STNANDARD EVENT" locked="1" count="5" user="user" comment="Created by user on 9/24/2026">
      <inputCells r="B6" val="STANDARD EVENT"/>
      <inputCells r="C6" val="250"/>
      <inputCells r="D6" val="70000"/>
      <inputCells r="E6" val="800"/>
      <inputCells r="F6" val="40000"/>
    </scenario>
    <scenario name="PREMIUM EVENT" locked="1" count="5" user="user" comment="Created by user on 9/24/2026">
      <inputCells r="B6" val="PREMIUM EVENT"/>
      <inputCells r="C6" val="500"/>
      <inputCells r="D6" val="120000"/>
      <inputCells r="E6" val="1200"/>
      <inputCells r="F6" val="80000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198B-9628-49ED-91EA-5FC290E62B5E}">
  <dimension ref="B2:L6"/>
  <sheetViews>
    <sheetView zoomScale="84" workbookViewId="0">
      <selection activeCell="L4" sqref="L4"/>
    </sheetView>
  </sheetViews>
  <sheetFormatPr defaultRowHeight="14.5" x14ac:dyDescent="0.35"/>
  <cols>
    <col min="2" max="2" width="21.453125" customWidth="1"/>
    <col min="4" max="4" width="16.453125" customWidth="1"/>
    <col min="5" max="5" width="11.26953125" customWidth="1"/>
    <col min="6" max="6" width="15.08984375" customWidth="1"/>
    <col min="9" max="9" width="10.36328125" customWidth="1"/>
    <col min="10" max="10" width="13.81640625" bestFit="1" customWidth="1"/>
    <col min="11" max="11" width="18.1796875" customWidth="1"/>
    <col min="12" max="12" width="20.81640625" customWidth="1"/>
  </cols>
  <sheetData>
    <row r="2" spans="2:12" x14ac:dyDescent="0.35">
      <c r="B2" s="1" t="s">
        <v>12</v>
      </c>
    </row>
    <row r="4" spans="2:12" x14ac:dyDescent="0.35">
      <c r="B4" t="s">
        <v>0</v>
      </c>
      <c r="C4" t="s">
        <v>13</v>
      </c>
      <c r="D4" t="s">
        <v>14</v>
      </c>
      <c r="E4" t="s">
        <v>15</v>
      </c>
      <c r="F4" t="s">
        <v>16</v>
      </c>
      <c r="J4" s="2" t="s">
        <v>18</v>
      </c>
      <c r="K4" s="2" t="s">
        <v>19</v>
      </c>
      <c r="L4" s="2" t="s">
        <v>20</v>
      </c>
    </row>
    <row r="5" spans="2:12" x14ac:dyDescent="0.35">
      <c r="B5" t="s">
        <v>17</v>
      </c>
      <c r="C5">
        <v>2500</v>
      </c>
      <c r="D5">
        <v>400</v>
      </c>
      <c r="E5">
        <v>200</v>
      </c>
      <c r="F5">
        <v>60</v>
      </c>
      <c r="J5">
        <f>C5*D5</f>
        <v>1000000</v>
      </c>
      <c r="K5">
        <f>C5*E5</f>
        <v>500000</v>
      </c>
      <c r="L5">
        <f>C5*F5</f>
        <v>150000</v>
      </c>
    </row>
    <row r="6" spans="2:12" x14ac:dyDescent="0.35">
      <c r="I6" s="3" t="s">
        <v>9</v>
      </c>
      <c r="J6" s="3">
        <f>J5-(K5+L5)</f>
        <v>350000</v>
      </c>
    </row>
  </sheetData>
  <scenarios current="1" show="1">
    <scenario name="LOW DEMAND" locked="1" count="5" user="user" comment="Created by user on 9/23/2026_x000a_Modified by user on 9/23/2026">
      <inputCells r="B5" val="LOW DEMAND"/>
      <inputCells r="C5" val="1500"/>
      <inputCells r="D5" val="350"/>
      <inputCells r="E5" val="180"/>
      <inputCells r="F5" val="60"/>
    </scenario>
    <scenario name="NORMAL DEMAND" locked="1" count="5" user="user" comment="Created by user on 9/23/2026">
      <inputCells r="B5" val="NORMAL DEMAND"/>
      <inputCells r="C5" val="2500"/>
      <inputCells r="D5" val="400"/>
      <inputCells r="E5" val="200"/>
      <inputCells r="F5" val="60"/>
    </scenario>
    <scenario name="HIGH DEMAND" locked="1" count="5" user="user" comment="Created by user on 9/23/2026">
      <inputCells r="B5" val="HIGH DEMAND"/>
      <inputCells r="C5" val="4000"/>
      <inputCells r="D5" val="450"/>
      <inputCells r="E5" val="210"/>
      <inputCells r="F5" val="65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F065-58D7-4A75-9B02-CC27B876C019}">
  <dimension ref="B2:F8"/>
  <sheetViews>
    <sheetView workbookViewId="0">
      <selection activeCell="C8" sqref="C8"/>
    </sheetView>
  </sheetViews>
  <sheetFormatPr defaultRowHeight="14.5" x14ac:dyDescent="0.35"/>
  <cols>
    <col min="2" max="2" width="23" customWidth="1"/>
    <col min="5" max="5" width="12.26953125" customWidth="1"/>
    <col min="6" max="7" width="13.90625" customWidth="1"/>
  </cols>
  <sheetData>
    <row r="2" spans="2:6" x14ac:dyDescent="0.35">
      <c r="B2" s="5" t="s">
        <v>21</v>
      </c>
    </row>
    <row r="5" spans="2:6" x14ac:dyDescent="0.35">
      <c r="B5" t="s">
        <v>0</v>
      </c>
      <c r="C5" t="s">
        <v>22</v>
      </c>
      <c r="D5" t="s">
        <v>23</v>
      </c>
      <c r="E5" t="s">
        <v>24</v>
      </c>
      <c r="F5" t="s">
        <v>25</v>
      </c>
    </row>
    <row r="6" spans="2:6" x14ac:dyDescent="0.35">
      <c r="B6" t="s">
        <v>26</v>
      </c>
      <c r="C6">
        <v>35</v>
      </c>
      <c r="D6">
        <v>12</v>
      </c>
      <c r="E6">
        <v>3000</v>
      </c>
      <c r="F6">
        <v>500</v>
      </c>
    </row>
    <row r="8" spans="2:6" x14ac:dyDescent="0.35">
      <c r="B8" s="2" t="s">
        <v>9</v>
      </c>
      <c r="C8" s="2">
        <f>D6*E6+(F6*C6)</f>
        <v>53500</v>
      </c>
    </row>
  </sheetData>
  <scenarios current="2" show="2">
    <scenario name="SMALL BATCH" locked="1" count="5" user="user" comment="Created by user on 9/23/2026">
      <inputCells r="B6" val="SMALL BATCH"/>
      <inputCells r="C6" val="10"/>
      <inputCells r="D6" val="8"/>
      <inputCells r="E6" val="2000"/>
      <inputCells r="F6" val="300"/>
    </scenario>
    <scenario name="REGULAR BATCH" locked="1" count="5" user="user" comment="Created by user on 9/23/2026">
      <inputCells r="B6" val="REGULAR BATCH"/>
      <inputCells r="C6" val="20"/>
      <inputCells r="D6" val="10"/>
      <inputCells r="E6" val="2500"/>
      <inputCells r="F6" val="400"/>
    </scenario>
    <scenario name="LARGE BATCH" locked="1" count="5" user="user" comment="Created by user on 9/23/2026">
      <inputCells r="B6" val="LARGE BATCH"/>
      <inputCells r="C6" val="35"/>
      <inputCells r="D6" val="12"/>
      <inputCells r="E6" val="3000"/>
      <inputCells r="F6" val="500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5D00-12A5-44C5-A52F-374B5FF79891}">
  <dimension ref="B3:D9"/>
  <sheetViews>
    <sheetView workbookViewId="0">
      <selection activeCell="E19" sqref="E19"/>
    </sheetView>
  </sheetViews>
  <sheetFormatPr defaultRowHeight="14.5" x14ac:dyDescent="0.35"/>
  <cols>
    <col min="1" max="1" width="13.08984375" customWidth="1"/>
    <col min="2" max="2" width="18.1796875" customWidth="1"/>
    <col min="3" max="3" width="16.453125" customWidth="1"/>
    <col min="4" max="4" width="17.6328125" customWidth="1"/>
  </cols>
  <sheetData>
    <row r="3" spans="2:4" x14ac:dyDescent="0.35">
      <c r="B3" s="1" t="s">
        <v>11</v>
      </c>
    </row>
    <row r="5" spans="2:4" x14ac:dyDescent="0.35">
      <c r="B5" t="s">
        <v>0</v>
      </c>
    </row>
    <row r="6" spans="2:4" x14ac:dyDescent="0.35">
      <c r="B6" t="s">
        <v>1</v>
      </c>
      <c r="C6">
        <v>114</v>
      </c>
      <c r="D6" t="s">
        <v>4</v>
      </c>
    </row>
    <row r="7" spans="2:4" x14ac:dyDescent="0.35">
      <c r="B7" t="s">
        <v>2</v>
      </c>
      <c r="C7">
        <v>15000</v>
      </c>
    </row>
    <row r="9" spans="2:4" x14ac:dyDescent="0.35">
      <c r="B9" s="3" t="s">
        <v>3</v>
      </c>
      <c r="C9" s="3">
        <f>C6*C7</f>
        <v>1710000</v>
      </c>
    </row>
  </sheetData>
  <scenarios current="1" show="1">
    <scenario name="BEST CASE" locked="1" count="2" user="user" comment="Created by user on 9/23/2026">
      <inputCells r="C6" val="84"/>
      <inputCells r="D6" val="BEST SCENARIO"/>
    </scenario>
    <scenario name="WORST CASE" locked="1" count="2" user="user" comment="Created by user on 9/23/2026">
      <inputCells r="C6" val="114"/>
      <inputCells r="D6" val="WORST SCENARIO"/>
    </scenario>
    <scenario name="NOMAL CASE" locked="1" count="2" user="user" comment="Created by user on 9/23/2026">
      <inputCells r="C6" val="99"/>
      <inputCells r="D6" val="NORMAL SCENARIO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94B9-8E56-4D10-824A-20E5DDEEA878}">
  <dimension ref="B2:E7"/>
  <sheetViews>
    <sheetView workbookViewId="0">
      <selection activeCell="H8" sqref="H8"/>
    </sheetView>
  </sheetViews>
  <sheetFormatPr defaultRowHeight="14.5" x14ac:dyDescent="0.35"/>
  <cols>
    <col min="2" max="2" width="22.26953125" customWidth="1"/>
    <col min="3" max="3" width="10.7265625" customWidth="1"/>
    <col min="4" max="4" width="13.7265625" customWidth="1"/>
  </cols>
  <sheetData>
    <row r="2" spans="2:5" x14ac:dyDescent="0.35">
      <c r="B2" s="1" t="s">
        <v>5</v>
      </c>
    </row>
    <row r="4" spans="2:5" x14ac:dyDescent="0.35">
      <c r="B4" t="s">
        <v>0</v>
      </c>
      <c r="C4" t="s">
        <v>6</v>
      </c>
      <c r="D4" t="s">
        <v>7</v>
      </c>
      <c r="E4" t="s">
        <v>8</v>
      </c>
    </row>
    <row r="5" spans="2:5" x14ac:dyDescent="0.35">
      <c r="B5" t="s">
        <v>10</v>
      </c>
      <c r="C5">
        <v>5</v>
      </c>
      <c r="D5">
        <v>20</v>
      </c>
      <c r="E5">
        <v>1500</v>
      </c>
    </row>
    <row r="7" spans="2:5" x14ac:dyDescent="0.35">
      <c r="B7" s="3" t="s">
        <v>9</v>
      </c>
      <c r="C7" s="3">
        <f>C5*D5*E5</f>
        <v>150000</v>
      </c>
    </row>
  </sheetData>
  <scenarios current="0" show="0">
    <scenario name="NORMAL COST" locked="1" count="4" user="user" comment="Created by user on 9/23/2026">
      <inputCells r="B5" val="NORMAL COST"/>
      <inputCells r="C5" val="5"/>
      <inputCells r="D5" val="20"/>
      <inputCells r="E5" val="1500"/>
    </scenario>
    <scenario name="HIGH COST" locked="1" count="4" user="user" comment="Created by user on 9/23/2026">
      <inputCells r="B5" val="HIGH COST"/>
      <inputCells r="C5" val="8"/>
      <inputCells r="D5" val="25"/>
      <inputCells r="E5" val="1700"/>
    </scenario>
  </scenario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2026-09-23T06:30:49Z</dcterms:created>
  <dcterms:modified xsi:type="dcterms:W3CDTF">2026-09-24T06:36:10Z</dcterms:modified>
</cp:coreProperties>
</file>